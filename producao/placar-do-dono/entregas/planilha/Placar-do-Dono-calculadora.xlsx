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ece aqui" sheetId="1" state="visible" r:id="rId3"/>
    <sheet name="Ponto de equilíbrio" sheetId="2" state="visible" r:id="rId4"/>
    <sheet name="Margem por canal" sheetId="3" state="visible" r:id="rId5"/>
    <sheet name="Preço (markup)" sheetId="4" state="visible" r:id="rId6"/>
    <sheet name="Simulador de desconto" sheetId="5" state="visible" r:id="rId7"/>
    <sheet name="Ficha técnica" sheetId="6" state="visible" r:id="rId8"/>
  </sheets>
  <definedNames>
    <definedName function="false" hidden="false" localSheetId="0" name="_xlnm.Print_Area" vbProcedure="false">'Comece aqui'!$A$1:$D$36</definedName>
    <definedName function="false" hidden="false" localSheetId="5" name="_xlnm.Print_Area" vbProcedure="false">'Ficha técnica'!$A$1:$J$45</definedName>
    <definedName function="false" hidden="false" localSheetId="2" name="_xlnm.Print_Area" vbProcedure="false">'Margem por canal'!$A$1:$G$37</definedName>
    <definedName function="false" hidden="false" localSheetId="1" name="_xlnm.Print_Area" vbProcedure="false">'Ponto de equilíbrio'!$A$1:$F$35</definedName>
    <definedName function="false" hidden="false" localSheetId="3" name="_xlnm.Print_Area" vbProcedure="false">'Preço (markup)'!$A$1:$F$30</definedName>
    <definedName function="false" hidden="false" localSheetId="4" name="_xlnm.Print_Area" vbProcedure="false">'Simulador de desconto'!$A$1:$F$31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2" authorId="0">
      <text>
        <r>
          <rPr>
            <sz val="10"/>
            <rFont val="Arial"/>
            <family val="2"/>
          </rPr>
          <t xml:space="preserve">Tabela pública do iFood (blog de parceiros), valores vigentes desde 23/06/2026. Confira seu contrato: plano, cidade e negociação mudam a conta.</t>
        </r>
      </text>
    </comment>
    <comment ref="C13" authorId="0">
      <text>
        <r>
          <rPr>
            <sz val="10"/>
            <rFont val="Arial"/>
            <family val="2"/>
          </rPr>
          <t xml:space="preserve">Tabela pública do iFood (blog de parceiros), valores vigentes desde 23/06/2026. Confira seu contrato: plano, cidade e negociação mudam a conta.</t>
        </r>
      </text>
    </comment>
    <comment ref="D12" authorId="0">
      <text>
        <r>
          <rPr>
            <sz val="10"/>
            <rFont val="Arial"/>
            <family val="2"/>
          </rPr>
          <t xml:space="preserve">Tabela pública do iFood (blog de parceiros), valores vigentes desde 23/06/2026. Confira seu contrato: plano, cidade e negociação mudam a conta.</t>
        </r>
      </text>
    </comment>
    <comment ref="D13" authorId="0">
      <text>
        <r>
          <rPr>
            <sz val="10"/>
            <rFont val="Arial"/>
            <family val="2"/>
          </rPr>
          <t xml:space="preserve">Tabela pública do iFood (blog de parceiros), valores vigentes desde 23/06/2026. Confira seu contrato: plano, cidade e negociação mudam a conta.</t>
        </r>
      </text>
    </comment>
  </commentList>
</comments>
</file>

<file path=xl/sharedStrings.xml><?xml version="1.0" encoding="utf-8"?>
<sst xmlns="http://schemas.openxmlformats.org/spreadsheetml/2006/main" count="262" uniqueCount="216">
  <si>
    <t xml:space="preserve">PLACAR DO DONO · CALCULADORA</t>
  </si>
  <si>
    <t xml:space="preserve">Quanto vender só para empatar, quanto sobra em cada canal, que preço cobrar e quanto custa um desconto. Comece por aqui.</t>
  </si>
  <si>
    <t xml:space="preserve">COMO USAR</t>
  </si>
  <si>
    <t xml:space="preserve">1.  Escolha a aba com a pergunta que você quer responder (clique no nome na tabela abaixo).</t>
  </si>
  <si>
    <t xml:space="preserve">2.  Troque só as células amarelas de número azul pelos seus números. O resto é fórmula e recalcula sozinho.</t>
  </si>
  <si>
    <t xml:space="preserve">3.  Percentual se digita com o sinal: 28% (ou 0,28). Dinheiro, sem o R$: 22000 ou 14,70.</t>
  </si>
  <si>
    <t xml:space="preserve">4.  Comece pela Ficha técnica: o custo direto do prato é a base da Margem por canal, do Preço e do Simulador de desconto.</t>
  </si>
  <si>
    <t xml:space="preserve">5.  Leia o "Como ler" no fim de cada aba antes de decidir. Dica: salve uma cópia limpa antes de mexer.</t>
  </si>
  <si>
    <t xml:space="preserve">O QUE CADA ABA RESPONDE</t>
  </si>
  <si>
    <t xml:space="preserve">Aba (clique para abrir)</t>
  </si>
  <si>
    <t xml:space="preserve">Pergunta que ela responde</t>
  </si>
  <si>
    <t xml:space="preserve">Ponto de equilíbrio  →</t>
  </si>
  <si>
    <t xml:space="preserve">Quantos pedidos por dia você precisa vender só para empatar com as contas fixas do mês?</t>
  </si>
  <si>
    <t xml:space="preserve">Margem por canal  →</t>
  </si>
  <si>
    <t xml:space="preserve">Quanto sobra do mesmo lanche no iFood Básico, no iFood Entrega, no canal próprio e em outro app?</t>
  </si>
  <si>
    <t xml:space="preserve">Preço (markup)  →</t>
  </si>
  <si>
    <t xml:space="preserve">Qual preço cobre o custo do prato, as taxas, a parte dos custos fixos e ainda deixa lucro?</t>
  </si>
  <si>
    <t xml:space="preserve">Simulador de desconto  →</t>
  </si>
  <si>
    <t xml:space="preserve">Quanto um desconto tira da sua margem e quantos pedidos a mais ele exige para ganhar o mesmo?</t>
  </si>
  <si>
    <t xml:space="preserve">Ficha técnica  →</t>
  </si>
  <si>
    <t xml:space="preserve">Quanto custa de verdade cada prato, contando a perda do pré-preparo e a embalagem?</t>
  </si>
  <si>
    <t xml:space="preserve">LEGENDA DE CORES</t>
  </si>
  <si>
    <t xml:space="preserve">Entrada: fundo amarelo e número azul. Troque pelo seu número.</t>
  </si>
  <si>
    <t xml:space="preserve">Cálculo: fórmula, não precisa mexer. Apagou sem querer? Ctrl+Z ou baixe a planilha de novo.</t>
  </si>
  <si>
    <t xml:space="preserve">Placar: o resultado principal da aba.</t>
  </si>
  <si>
    <t xml:space="preserve">O que sobra para você: margem, lucro, o lado bom da conta.</t>
  </si>
  <si>
    <t xml:space="preserve">Custos e o que tira margem. Margem negativa também aparece em coral.</t>
  </si>
  <si>
    <t xml:space="preserve">Cabeçalho</t>
  </si>
  <si>
    <t xml:space="preserve">Títulos de tabela.</t>
  </si>
  <si>
    <t xml:space="preserve">AVISOS</t>
  </si>
  <si>
    <t xml:space="preserve">•  Os números que já vêm preenchidos são EXEMPLOS ILUSTRATIVOS (o smash de R$ 38, os R$ 22 mil de custo fixo, o imposto de 6%, a entrega de R$ 5). Troque pelos seus antes de decidir qualquer coisa.</t>
  </si>
  <si>
    <t xml:space="preserve">•  Taxas de app mudam e variam por plano, cidade e contrato. As do iFood vêm da tabela pública do blog de parceiros do iFood, com valores vigentes desde 23/06/2026: Plano Básico 12% de comissão + 3,2% de pagamento online (a loja entrega); Plano Entrega 23% + 3,2% (o iFood entrega). Confira seu contrato.</t>
  </si>
  <si>
    <t xml:space="preserve">•  Mensalidade de app é custo fixo, não entra no pedido: na mesma tabela, R$ 110 no Básico e R$ 150 no Entrega, cobrada de quem fatura mais de R$ 1.800/mês no app. Some no custo fixo da aba Ponto de equilíbrio.</t>
  </si>
  <si>
    <t xml:space="preserve">•  O imposto de 6% é só exemplo: o seu depende do regime (MEI, Simples Nacional...) e da faixa de faturamento.</t>
  </si>
  <si>
    <t xml:space="preserve">•  Esta planilha é educativa e não substitui o seu contador.</t>
  </si>
  <si>
    <t xml:space="preserve">Versão de outubro/2026.</t>
  </si>
  <si>
    <t xml:space="preserve">Placar do Dono · [@PREENCHER]</t>
  </si>
  <si>
    <t xml:space="preserve">PONTO DE EQUILÍBRIO</t>
  </si>
  <si>
    <t xml:space="preserve">PLACAR DO DONO</t>
  </si>
  <si>
    <t xml:space="preserve">Responde: quantos pedidos por dia você precisa vender só para empatar com as contas fixas do mês?</t>
  </si>
  <si>
    <t xml:space="preserve">ENTRADAS · O SEU MÊS</t>
  </si>
  <si>
    <t xml:space="preserve">exemplo ilustrativo · troque pelos seus números</t>
  </si>
  <si>
    <t xml:space="preserve">Custo fixo mensal (R$)</t>
  </si>
  <si>
    <t xml:space="preserve">Tudo que você paga mesmo sem vender: aluguel ou hub, salários e encargos, pró-labore, contador, sistemas, energia e gás base, internet, mensalidade de app, parcelas.</t>
  </si>
  <si>
    <t xml:space="preserve">Ticket médio (R$)</t>
  </si>
  <si>
    <t xml:space="preserve">Faturamento do mês ÷ número de pedidos do mês.</t>
  </si>
  <si>
    <t xml:space="preserve">Margem de contribuição (%)</t>
  </si>
  <si>
    <t xml:space="preserve">O que sobra de cada pedido depois de insumo, embalagem, comissão, taxa, imposto e cupom. Calcule a sua na aba Margem por canal.</t>
  </si>
  <si>
    <t xml:space="preserve">Dias abertos no mês</t>
  </si>
  <si>
    <t xml:space="preserve">Quantos dias a cozinha abre no mês.</t>
  </si>
  <si>
    <t xml:space="preserve">RESULTADO · O SEU PLACAR</t>
  </si>
  <si>
    <t xml:space="preserve">Margem por pedido (R$)</t>
  </si>
  <si>
    <t xml:space="preserve">ticket médio × margem %</t>
  </si>
  <si>
    <t xml:space="preserve">Faturamento de equilíbrio (R$ por mês)</t>
  </si>
  <si>
    <t xml:space="preserve">custo fixo ÷ margem %: o mínimo para empatar</t>
  </si>
  <si>
    <t xml:space="preserve">Pedidos por mês para empatar</t>
  </si>
  <si>
    <t xml:space="preserve">custo fixo ÷ margem por pedido, arredondado para cima</t>
  </si>
  <si>
    <t xml:space="preserve">PEDIDOS POR DIA SÓ PARA EMPATAR</t>
  </si>
  <si>
    <t xml:space="preserve">pedidos por mês ÷ dias abertos, arredondado para cima</t>
  </si>
  <si>
    <t xml:space="preserve">VIRAR O JOGO · e se você mexer no ticket, na margem e no custo fixo?</t>
  </si>
  <si>
    <t xml:space="preserve">O que muda</t>
  </si>
  <si>
    <t xml:space="preserve">Hoje</t>
  </si>
  <si>
    <t xml:space="preserve">Virando o jogo</t>
  </si>
  <si>
    <t xml:space="preserve">Diferença</t>
  </si>
  <si>
    <t xml:space="preserve">Os dias abertos são os mesmos de cima. As células amarelas desta tabela são as suas jogadas: teste combinações.</t>
  </si>
  <si>
    <t xml:space="preserve">COMO LER</t>
  </si>
  <si>
    <t xml:space="preserve">•  Ponto de equilíbrio é empate: lucro zero. Cada pedido até ele paga uma conta fixa; só depois dele o dinheiro é seu.</t>
  </si>
  <si>
    <t xml:space="preserve">•  Coloque o seu pró-labore no custo fixo. Sem ele, o "empate" esconde que você está trabalhando de graça.</t>
  </si>
  <si>
    <t xml:space="preserve">•  Pedidos são arredondados para cima: meio pedido não existe, e arredondar para baixo deixa você um pouco abaixo do empate.</t>
  </si>
  <si>
    <t xml:space="preserve">•  Vende em vários canais? Use uma margem média, pesando cada canal pelo quanto ele fatura (veja a aba Margem por canal).</t>
  </si>
  <si>
    <t xml:space="preserve">•  Três alavancas viram o jogo: subir o ticket (combos, adicionais), subir a margem (preço, ficha técnica, canal) e cortar custo fixo. Teste no bloco Virar o jogo.</t>
  </si>
  <si>
    <t xml:space="preserve">MARGEM POR CANAL</t>
  </si>
  <si>
    <t xml:space="preserve">Responde: quanto sobra do mesmo lanche em cada canal de venda, depois de comissão, taxa de pagamento, imposto, entrega e cupom?</t>
  </si>
  <si>
    <t xml:space="preserve">ENTRADAS · O ITEM</t>
  </si>
  <si>
    <t xml:space="preserve">Item</t>
  </si>
  <si>
    <t xml:space="preserve">Smash duplo</t>
  </si>
  <si>
    <t xml:space="preserve">só para você saber de qual prato é a conta</t>
  </si>
  <si>
    <t xml:space="preserve">Preço de venda (R$)</t>
  </si>
  <si>
    <t xml:space="preserve">o preço do cardápio, sem desconto</t>
  </si>
  <si>
    <t xml:space="preserve">Custo direto: insumo + embalagem (R$)</t>
  </si>
  <si>
    <t xml:space="preserve">o total da aba Ficha técnica</t>
  </si>
  <si>
    <t xml:space="preserve">ENTRADAS · O QUE CADA CANAL COBRA</t>
  </si>
  <si>
    <t xml:space="preserve">% sobre o valor pago pelo cliente</t>
  </si>
  <si>
    <t xml:space="preserve">Canal (pode renomear)</t>
  </si>
  <si>
    <t xml:space="preserve">iFood Básico</t>
  </si>
  <si>
    <t xml:space="preserve">iFood Entrega</t>
  </si>
  <si>
    <t xml:space="preserve">Canal próprio</t>
  </si>
  <si>
    <t xml:space="preserve">Outro app</t>
  </si>
  <si>
    <t xml:space="preserve">Comissão do app (%)</t>
  </si>
  <si>
    <t xml:space="preserve">Taxa de pagamento online (%)</t>
  </si>
  <si>
    <t xml:space="preserve">Imposto sobre a venda (%)</t>
  </si>
  <si>
    <t xml:space="preserve">Entrega paga pela loja (R$ por pedido)</t>
  </si>
  <si>
    <t xml:space="preserve">Cupom bancado pela loja (R$ por pedido)</t>
  </si>
  <si>
    <t xml:space="preserve">Taxas do iFood: tabela pública do blog de parceiros do iFood, valores vigentes desde 23/06/2026 (Plano Básico: 12% + 3,2% de pagamento online, a loja entrega; Plano Entrega: 23% + 3,2%, o iFood entrega). Confira seu contrato. Entrega de R$ 5,00, taxa de 1% no canal próprio e imposto de 6% são exemplos. Outro app: preencha com as condições do seu contrato (o resultado aparece quando a comissão é preenchida; se for zero, digite 0).</t>
  </si>
  <si>
    <t xml:space="preserve">RESULTADO · QUANTO SOBRA POR PEDIDO</t>
  </si>
  <si>
    <t xml:space="preserve">Por pedido</t>
  </si>
  <si>
    <t xml:space="preserve">Valor pago pelo cliente (preço − cupom)</t>
  </si>
  <si>
    <t xml:space="preserve">(−) Custo direto</t>
  </si>
  <si>
    <t xml:space="preserve">(−) Comissão do app</t>
  </si>
  <si>
    <t xml:space="preserve">(−) Taxa de pagamento online</t>
  </si>
  <si>
    <t xml:space="preserve">(−) Imposto</t>
  </si>
  <si>
    <t xml:space="preserve">(−) Entrega paga pela loja</t>
  </si>
  <si>
    <t xml:space="preserve">(=) Total que sai do pedido</t>
  </si>
  <si>
    <t xml:space="preserve">MARGEM POR PEDIDO (R$)</t>
  </si>
  <si>
    <t xml:space="preserve">Margem (% do valor pago)</t>
  </si>
  <si>
    <t xml:space="preserve">Canal com a maior margem por pedido</t>
  </si>
  <si>
    <t xml:space="preserve">•  Margem de contribuição é o que sobra de cada pedido para pagar os custos fixos e dar lucro. É o número que vai na aba Ponto de equilíbrio.</t>
  </si>
  <si>
    <t xml:space="preserve">•  No iFood Básico a comissão é menor, mas quem entrega é você: o custo da entrega entra na linha "Entrega paga pela loja" (motoboy menos a taxa de entrega que o cliente pagou).</t>
  </si>
  <si>
    <t xml:space="preserve">•  O canal próprio parece sempre melhor, mas tem custos que não aparecem no pedido: marketing para trazer o cliente, sistema, atendimento. Compare depois deles.</t>
  </si>
  <si>
    <t xml:space="preserve">•  Mensalidade de app é custo fixo: entra no Ponto de equilíbrio, não aqui.</t>
  </si>
  <si>
    <t xml:space="preserve">•  Aqui os percentuais incidem sobre o valor pago pelo cliente (preço − cupom). Confira no seu contrato sobre qual valor cada taxa é cobrada (com ou sem cupom, com ou sem taxa de entrega): isso muda a conta.</t>
  </si>
  <si>
    <t xml:space="preserve">PREÇO (MARKUP)</t>
  </si>
  <si>
    <t xml:space="preserve">Responde: qual preço de venda cobre o custo do prato, os custos variáveis, a parte dos custos fixos e ainda deixa o lucro que você quer?</t>
  </si>
  <si>
    <t xml:space="preserve">ENTRADAS</t>
  </si>
  <si>
    <t xml:space="preserve">Custos variáveis (% do preço)</t>
  </si>
  <si>
    <t xml:space="preserve">comissão + taxa de pagamento + imposto (+ cupom médio). Exemplo: 25% de app + 6% de imposto.</t>
  </si>
  <si>
    <t xml:space="preserve">Custos fixos (% do faturamento)</t>
  </si>
  <si>
    <t xml:space="preserve">custo fixo do mês ÷ faturamento esperado do mês. Ex.: R$ 22.000 ÷ R$ 110.000 = 20%.</t>
  </si>
  <si>
    <t xml:space="preserve">Lucro desejado (% do preço)</t>
  </si>
  <si>
    <t xml:space="preserve">o que você quer que sobre limpo de cada venda</t>
  </si>
  <si>
    <t xml:space="preserve">RESULTADO · O PREÇO QUE FECHA A CONTA</t>
  </si>
  <si>
    <t xml:space="preserve">Soma dos percentuais (variáveis + fixos + lucro)</t>
  </si>
  <si>
    <t xml:space="preserve">a parte do preço que já tem dono antes do custo do prato</t>
  </si>
  <si>
    <t xml:space="preserve">Sobra para pagar o custo direto (1 − soma)</t>
  </si>
  <si>
    <t xml:space="preserve">é por este número que o custo direto é dividido</t>
  </si>
  <si>
    <t xml:space="preserve">PREÇO SUGERIDO (R$)</t>
  </si>
  <si>
    <t xml:space="preserve">Multiplicador equivalente (markup)</t>
  </si>
  <si>
    <t xml:space="preserve">preço sugerido ÷ custo direto: o "vezes quanto" do seu custo</t>
  </si>
  <si>
    <t xml:space="preserve">PROVA REAL · para onde vai cada real do preço sugerido</t>
  </si>
  <si>
    <t xml:space="preserve">Parte do preço</t>
  </si>
  <si>
    <t xml:space="preserve">R$</t>
  </si>
  <si>
    <t xml:space="preserve">% do preço</t>
  </si>
  <si>
    <t xml:space="preserve">Custo direto (insumo + embalagem)</t>
  </si>
  <si>
    <t xml:space="preserve">Custos variáveis (app, pagamento, imposto)</t>
  </si>
  <si>
    <t xml:space="preserve">Custos fixos (a parte deste item)</t>
  </si>
  <si>
    <t xml:space="preserve">Lucro desejado</t>
  </si>
  <si>
    <t xml:space="preserve">(=) Preço sugerido</t>
  </si>
  <si>
    <t xml:space="preserve">•  Markup divisor: preço = custo direto ÷ (1 − (% variáveis + % fixos + % lucro)). A prova real mostra que o preço sugerido paga cada parte certinho.</t>
  </si>
  <si>
    <t xml:space="preserve">•  Multiplicar o custo "por 3" sem fazer a conta é o erro clássico: no app, a comissão sozinha pode levar um quarto do preço.</t>
  </si>
  <si>
    <t xml:space="preserve">•  % fixos = custo fixo do mês ÷ faturamento esperado. Se as vendas caem, esse % sobe e o preço precisa subir junto.</t>
  </si>
  <si>
    <t xml:space="preserve">•  Preço diferente por canal: muitos restaurantes cobram mais no app para carregar a comissão. Confira as regras do contrato de cada app antes.</t>
  </si>
  <si>
    <t xml:space="preserve">•  Depois da conta, compare com o mercado (o que o cliente paga em produtos parecidos no seu raio de entrega). Se a conta dá um preço que o mercado não aceita, o problema é custo, porção ou modelo, não o preço.</t>
  </si>
  <si>
    <t xml:space="preserve">SIMULADOR DE DESCONTO</t>
  </si>
  <si>
    <t xml:space="preserve">Responde: quanto um desconto tira da sua margem por pedido e quantos pedidos a mais você precisa vender para ganhar o mesmo?</t>
  </si>
  <si>
    <t xml:space="preserve">não muda com o desconto (aba Ficha técnica)</t>
  </si>
  <si>
    <t xml:space="preserve">Custos variáveis (% sobre o valor pago)</t>
  </si>
  <si>
    <t xml:space="preserve">comissão + pagamento online + imposto. Exemplo: app 25% + imposto 6%.</t>
  </si>
  <si>
    <t xml:space="preserve">Desconto (%)</t>
  </si>
  <si>
    <t xml:space="preserve">bancado pela loja</t>
  </si>
  <si>
    <t xml:space="preserve">RESULTADO · ANTES E DEPOIS DO DESCONTO</t>
  </si>
  <si>
    <t xml:space="preserve">Sem desconto</t>
  </si>
  <si>
    <t xml:space="preserve">Com desconto</t>
  </si>
  <si>
    <t xml:space="preserve">Preço pago pelo cliente</t>
  </si>
  <si>
    <t xml:space="preserve">(−) Custos variáveis</t>
  </si>
  <si>
    <t xml:space="preserve">O placar do desconto</t>
  </si>
  <si>
    <t xml:space="preserve">Queda da margem por pedido (%)</t>
  </si>
  <si>
    <t xml:space="preserve">quanto da sua sobra o desconto levou</t>
  </si>
  <si>
    <t xml:space="preserve">PEDIDOS NECESSÁRIOS PARA GANHAR O MESMO (×)</t>
  </si>
  <si>
    <t xml:space="preserve">margem antes ÷ margem depois</t>
  </si>
  <si>
    <t xml:space="preserve">Pedidos a mais para ganhar o mesmo (%)</t>
  </si>
  <si>
    <t xml:space="preserve">quanto o volume precisa crescer só para empatar com antes</t>
  </si>
  <si>
    <t xml:space="preserve">Desconto que zera a sua margem (%)</t>
  </si>
  <si>
    <t xml:space="preserve">acima disso, cada pedido com desconto dá prejuízo</t>
  </si>
  <si>
    <t xml:space="preserve">•  O desconto sai inteiro da sua margem: o insumo e a embalagem não dão desconto. Por isso um desconto pequeno no preço vira um corte grande na sobra.</t>
  </si>
  <si>
    <t xml:space="preserve">•  Pedidos necessários = margem antes ÷ margem depois. Antes de lançar, pergunte: a promoção vai mesmo trazer esse tanto de pedidos a mais? Se não, ela tira dinheiro do caixa.</t>
  </si>
  <si>
    <t xml:space="preserve">•  Promoção boa tem objetivo (cliente novo, horário vazio, lançamento), prazo, regra clara, conta feita e medição depois.</t>
  </si>
  <si>
    <t xml:space="preserve">•  Combo, brinde de custo baixo e frete grátis acima de um valor costumam proteger mais a margem que desconto em %.</t>
  </si>
  <si>
    <t xml:space="preserve">•  Os percentuais incidem sobre o valor pago pelo cliente (já com desconto) e os valores são arredondados para centavos. Promoção em app às vezes é cofinanciada: confira quanto a loja banca.</t>
  </si>
  <si>
    <t xml:space="preserve">FICHA TÉCNICA</t>
  </si>
  <si>
    <t xml:space="preserve">Responde: quanto custa de verdade cada prato, contando a perda do pré-preparo e a embalagem?</t>
  </si>
  <si>
    <t xml:space="preserve">ENTRADAS · O PRATO</t>
  </si>
  <si>
    <t xml:space="preserve">Nome do prato</t>
  </si>
  <si>
    <t xml:space="preserve">INSUMOS · o que vai no prato</t>
  </si>
  <si>
    <t xml:space="preserve">Qtd. no prato</t>
  </si>
  <si>
    <t xml:space="preserve">Unidade</t>
  </si>
  <si>
    <t xml:space="preserve">Preço de compra (R$)</t>
  </si>
  <si>
    <t xml:space="preserve">Por (unidade de compra)</t>
  </si>
  <si>
    <t xml:space="preserve">Fator de correção</t>
  </si>
  <si>
    <t xml:space="preserve">Qtd. bruta</t>
  </si>
  <si>
    <t xml:space="preserve">Custo (R$)</t>
  </si>
  <si>
    <t xml:space="preserve">Pão brioche</t>
  </si>
  <si>
    <t xml:space="preserve">un</t>
  </si>
  <si>
    <t xml:space="preserve">Blend bovino</t>
  </si>
  <si>
    <t xml:space="preserve">g</t>
  </si>
  <si>
    <t xml:space="preserve">kg</t>
  </si>
  <si>
    <t xml:space="preserve">Cheddar</t>
  </si>
  <si>
    <t xml:space="preserve">Cebola caramelizada</t>
  </si>
  <si>
    <t xml:space="preserve">porção</t>
  </si>
  <si>
    <t xml:space="preserve">Molho da casa</t>
  </si>
  <si>
    <t xml:space="preserve">Subtotal dos insumos</t>
  </si>
  <si>
    <t xml:space="preserve">EMBALAGEM E DESCARTÁVEIS · em delivery, fazem parte do custo do prato</t>
  </si>
  <si>
    <t xml:space="preserve">Caixa, sacola, sachês, guardanapo, lacre</t>
  </si>
  <si>
    <t xml:space="preserve">kit</t>
  </si>
  <si>
    <t xml:space="preserve">Subtotal da embalagem</t>
  </si>
  <si>
    <t xml:space="preserve">RESULTADO</t>
  </si>
  <si>
    <t xml:space="preserve">Custo dos insumos</t>
  </si>
  <si>
    <t xml:space="preserve">Custo da embalagem e descartáveis</t>
  </si>
  <si>
    <t xml:space="preserve">CUSTO DIRETO DO PRATO (R$)</t>
  </si>
  <si>
    <t xml:space="preserve">Use este número no campo "Custo direto" das abas Margem por canal, Preço (markup) e Simulador de desconto.</t>
  </si>
  <si>
    <t xml:space="preserve">CALCULE O FATOR DE CORREÇÃO (FC)</t>
  </si>
  <si>
    <t xml:space="preserve">exemplo: cebola</t>
  </si>
  <si>
    <t xml:space="preserve">Peso bruto, como você compra (g)</t>
  </si>
  <si>
    <t xml:space="preserve">ex.: 1 kg de cebola com casca</t>
  </si>
  <si>
    <t xml:space="preserve">Peso limpo, depois do pré-preparo (g)</t>
  </si>
  <si>
    <t xml:space="preserve">o que sobrou depois de descascar e aparar</t>
  </si>
  <si>
    <t xml:space="preserve">Fator de correção (FC) = bruto ÷ limpo</t>
  </si>
  <si>
    <t xml:space="preserve">use este número na coluna Fator de correção</t>
  </si>
  <si>
    <t xml:space="preserve">Preço de compra (R$ por kg)</t>
  </si>
  <si>
    <t xml:space="preserve">o preço da nota, do produto ainda sujo</t>
  </si>
  <si>
    <t xml:space="preserve">Custo do quilo limpo (R$)</t>
  </si>
  <si>
    <t xml:space="preserve">o preço de verdade do que vai para a panela</t>
  </si>
  <si>
    <t xml:space="preserve">•  Fator de correção (FC) = peso bruto ÷ peso limpo: é a perda do pré-preparo (casca, aparas, osso). FC 1,00 = sem perda. A coluna Qtd. bruta mostra quanto você precisa comprar para ter a quantidade que vai no prato.</t>
  </si>
  <si>
    <t xml:space="preserve">•  Custo = quantidade bruta × preço de compra. A planilha converte g ↔ kg e ml ↔ L sozinha; se aparecer "confira as unidades", a unidade do prato e a de compra não combinam (ex.: g com L).</t>
  </si>
  <si>
    <t xml:space="preserve">•  Item comprado ou preparado por porção (molho, cebola caramelizada) pode entrar como 1 porção ao custo da porção.</t>
  </si>
  <si>
    <t xml:space="preserve">•  Embalagem, sacola, sachês, guardanapo, lacre e bilhete entram no custo: em delivery eles saem em todo pedido.</t>
  </si>
  <si>
    <t xml:space="preserve">•  Revise a ficha quando um insumo importante mudar de preço (na prática, todo mês).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</si>
</sst>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&quot;R$ &quot;#,##0.00;&quot;-R$ &quot;#,##0.00;\-"/>
    <numFmt numFmtId="166" formatCode="#,##0;\-#,##0;\-"/>
    <numFmt numFmtId="167" formatCode="0.0%;\-0.0%;\-"/>
    <numFmt numFmtId="168" formatCode="0"/>
    <numFmt numFmtId="169" formatCode="&quot;+R$ &quot;#,##0.00;&quot;-R$ &quot;#,##0.00;\-"/>
    <numFmt numFmtId="170" formatCode="\+0.0&quot; p.p.&quot;;\-0.0&quot; p.p.&quot;;\-"/>
    <numFmt numFmtId="171" formatCode="\+#,##0;\-#,##0;\0"/>
    <numFmt numFmtId="172" formatCode="0.00\×"/>
    <numFmt numFmtId="173" formatCode="0.00"/>
    <numFmt numFmtId="174" formatCode="General"/>
  </numFmts>
  <fonts count="3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B020"/>
      <name val="Arial"/>
      <family val="0"/>
      <charset val="1"/>
    </font>
    <font>
      <sz val="10"/>
      <color rgb="FFA7ADB8"/>
      <name val="Arial"/>
      <family val="0"/>
      <charset val="1"/>
    </font>
    <font>
      <b val="true"/>
      <sz val="11"/>
      <color rgb="FF0E1116"/>
      <name val="Arial"/>
      <family val="0"/>
      <charset val="1"/>
    </font>
    <font>
      <sz val="10"/>
      <color rgb="FF0E1116"/>
      <name val="Arial"/>
      <family val="0"/>
      <charset val="1"/>
    </font>
    <font>
      <b val="true"/>
      <sz val="9"/>
      <color rgb="FFF4F1EA"/>
      <name val="Arial"/>
      <family val="0"/>
      <charset val="1"/>
    </font>
    <font>
      <b val="true"/>
      <u val="single"/>
      <sz val="10"/>
      <color rgb="FF0E1116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FFB020"/>
      <name val="Arial"/>
      <family val="0"/>
      <charset val="1"/>
    </font>
    <font>
      <b val="true"/>
      <sz val="11"/>
      <color rgb="FF34D27B"/>
      <name val="Arial"/>
      <family val="0"/>
      <charset val="1"/>
    </font>
    <font>
      <b val="true"/>
      <sz val="11"/>
      <color rgb="FFFF5A4E"/>
      <name val="Arial"/>
      <family val="0"/>
      <charset val="1"/>
    </font>
    <font>
      <i val="true"/>
      <sz val="8"/>
      <color rgb="FF555C68"/>
      <name val="Arial"/>
      <family val="0"/>
      <charset val="1"/>
    </font>
    <font>
      <b val="true"/>
      <sz val="18"/>
      <color rgb="FFF4F1EA"/>
      <name val="Arial"/>
      <family val="0"/>
      <charset val="1"/>
    </font>
    <font>
      <b val="true"/>
      <sz val="9"/>
      <color rgb="FFFFB020"/>
      <name val="Arial"/>
      <family val="0"/>
      <charset val="1"/>
    </font>
    <font>
      <sz val="9"/>
      <color rgb="FF555C68"/>
      <name val="Arial"/>
      <family val="0"/>
      <charset val="1"/>
    </font>
    <font>
      <sz val="10"/>
      <color rgb="FFF4F1EA"/>
      <name val="Arial"/>
      <family val="0"/>
      <charset val="1"/>
    </font>
    <font>
      <sz val="9"/>
      <color rgb="FFA7ADB8"/>
      <name val="Arial"/>
      <family val="0"/>
      <charset val="1"/>
    </font>
    <font>
      <b val="true"/>
      <sz val="10"/>
      <color rgb="FFF4F1EA"/>
      <name val="Arial"/>
      <family val="0"/>
      <charset val="1"/>
    </font>
    <font>
      <b val="true"/>
      <sz val="18"/>
      <color rgb="FFFFB020"/>
      <name val="Arial"/>
      <family val="0"/>
      <charset val="1"/>
    </font>
    <font>
      <b val="true"/>
      <sz val="12"/>
      <color rgb="FFFFB020"/>
      <name val="Arial"/>
      <family val="0"/>
      <charset val="1"/>
    </font>
    <font>
      <i val="true"/>
      <sz val="9"/>
      <color rgb="FF555C68"/>
      <name val="Arial"/>
      <family val="0"/>
      <charset val="1"/>
    </font>
    <font>
      <b val="true"/>
      <sz val="10"/>
      <color rgb="FF34D27B"/>
      <name val="Arial"/>
      <family val="0"/>
      <charset val="1"/>
    </font>
    <font>
      <b val="true"/>
      <sz val="10"/>
      <color rgb="FFFFB020"/>
      <name val="Arial"/>
      <family val="0"/>
      <charset val="1"/>
    </font>
    <font>
      <b val="true"/>
      <sz val="16"/>
      <color rgb="FFFFB020"/>
      <name val="Arial"/>
      <family val="0"/>
      <charset val="1"/>
    </font>
    <font>
      <b val="true"/>
      <sz val="16"/>
      <color rgb="FF34D27B"/>
      <name val="Arial"/>
      <family val="0"/>
      <charset val="1"/>
    </font>
    <font>
      <b val="true"/>
      <sz val="12"/>
      <color rgb="FF34D27B"/>
      <name val="Arial"/>
      <family val="0"/>
      <charset val="1"/>
    </font>
    <font>
      <sz val="9"/>
      <color rgb="FF333842"/>
      <name val="Arial"/>
      <family val="0"/>
      <charset val="1"/>
    </font>
    <font>
      <b val="true"/>
      <sz val="10"/>
      <color rgb="FF0E1116"/>
      <name val="Arial"/>
      <family val="0"/>
      <charset val="1"/>
    </font>
    <font>
      <b val="true"/>
      <sz val="10"/>
      <color rgb="FFFF5A4E"/>
      <name val="Arial"/>
      <family val="0"/>
      <charset val="1"/>
    </font>
    <font>
      <sz val="10"/>
      <name val="Arial"/>
      <family val="2"/>
    </font>
    <font>
      <b val="true"/>
      <sz val="11"/>
      <color rgb="FFF4F1EA"/>
      <name val="Arial"/>
      <family val="0"/>
      <charset val="1"/>
    </font>
    <font>
      <b val="true"/>
      <sz val="13"/>
      <color rgb="FF34D27B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9"/>
      <color rgb="FFA7ADB8"/>
      <name val="Arial"/>
      <family val="0"/>
      <charset val="1"/>
    </font>
    <font>
      <b val="true"/>
      <sz val="12"/>
      <color rgb="FFFF5A4E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E1116"/>
        <bgColor rgb="FF1A1F27"/>
      </patternFill>
    </fill>
    <fill>
      <patternFill patternType="solid">
        <fgColor rgb="FFFFB020"/>
        <bgColor rgb="FFFFCC00"/>
      </patternFill>
    </fill>
    <fill>
      <patternFill patternType="solid">
        <fgColor rgb="FFFFFF00"/>
        <bgColor rgb="FFFFFF00"/>
      </patternFill>
    </fill>
    <fill>
      <patternFill patternType="solid">
        <fgColor rgb="FF1A1F27"/>
        <bgColor rgb="FF252C37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FFB020"/>
      </bottom>
      <diagonal/>
    </border>
    <border diagonalUp="false" diagonalDown="false">
      <left style="thin">
        <color rgb="FFC9CED6"/>
      </left>
      <right style="thin">
        <color rgb="FFC9CED6"/>
      </right>
      <top style="thin">
        <color rgb="FFC9CED6"/>
      </top>
      <bottom style="thin">
        <color rgb="FFC9CED6"/>
      </bottom>
      <diagonal/>
    </border>
    <border diagonalUp="false" diagonalDown="false">
      <left/>
      <right/>
      <top style="thin">
        <color rgb="FF252C37"/>
      </top>
      <bottom style="thin">
        <color rgb="FF252C3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8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1" shrinkToFit="false"/>
      <protection locked="true" hidden="false"/>
    </xf>
    <xf numFmtId="165" fontId="1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3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4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10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7" fontId="10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0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5" borderId="3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5" fontId="13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5" borderId="3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5" fontId="12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5" borderId="3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6" fontId="22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1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1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0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5" fontId="25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1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6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6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21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7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8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28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0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7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1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32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9" fillId="5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25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34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2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2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32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35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22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0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11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1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36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7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7" fillId="5" borderId="3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73" fontId="23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38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FF5A4E"/>
      </font>
    </dxf>
    <dxf>
      <font>
        <name val="Arial"/>
        <charset val="1"/>
        <family val="0"/>
        <color rgb="FFA7ADB8"/>
        <sz val="9"/>
      </font>
    </dxf>
  </dxfs>
  <colors>
    <indexedColors>
      <rgbColor rgb="FF000000"/>
      <rgbColor rgb="FFF4F1EA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7ADB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9CE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4D27B"/>
      <rgbColor rgb="FF99CC00"/>
      <rgbColor rgb="FFFFCC00"/>
      <rgbColor rgb="FFFFB020"/>
      <rgbColor rgb="FFFF5A4E"/>
      <rgbColor rgb="FF555C68"/>
      <rgbColor rgb="FF969696"/>
      <rgbColor rgb="FF0E1116"/>
      <rgbColor rgb="FF339966"/>
      <rgbColor rgb="FF1A1F27"/>
      <rgbColor rgb="FF252C37"/>
      <rgbColor rgb="FF993300"/>
      <rgbColor rgb="FF993366"/>
      <rgbColor rgb="FF333399"/>
      <rgbColor rgb="FF33384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B020"/>
    <pageSetUpPr fitToPage="true"/>
  </sheetPr>
  <dimension ref="A1:D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74"/>
    <col collapsed="false" customWidth="true" hidden="false" outlineLevel="0" max="4" min="4" style="0" width="2"/>
  </cols>
  <sheetData>
    <row r="1" customFormat="false" ht="36" hidden="false" customHeight="true" outlineLevel="0" collapsed="false">
      <c r="A1" s="1"/>
      <c r="B1" s="2" t="s">
        <v>0</v>
      </c>
      <c r="C1" s="2"/>
      <c r="D1" s="1"/>
    </row>
    <row r="2" customFormat="false" ht="32.25" hidden="false" customHeight="true" outlineLevel="0" collapsed="false">
      <c r="A2" s="1"/>
      <c r="B2" s="3" t="s">
        <v>1</v>
      </c>
      <c r="C2" s="3"/>
      <c r="D2" s="1"/>
    </row>
    <row r="3" customFormat="false" ht="3.75" hidden="false" customHeight="true" outlineLevel="0" collapsed="false">
      <c r="A3" s="4"/>
      <c r="B3" s="4"/>
      <c r="C3" s="4"/>
      <c r="D3" s="4"/>
    </row>
    <row r="5" customFormat="false" ht="21.75" hidden="false" customHeight="true" outlineLevel="0" collapsed="false">
      <c r="B5" s="5" t="s">
        <v>2</v>
      </c>
      <c r="C5" s="5"/>
    </row>
    <row r="6" customFormat="false" ht="18.75" hidden="false" customHeight="true" outlineLevel="0" collapsed="false">
      <c r="B6" s="6" t="s">
        <v>3</v>
      </c>
      <c r="C6" s="6"/>
    </row>
    <row r="7" customFormat="false" ht="18.75" hidden="false" customHeight="true" outlineLevel="0" collapsed="false">
      <c r="B7" s="6" t="s">
        <v>4</v>
      </c>
      <c r="C7" s="6"/>
    </row>
    <row r="8" customFormat="false" ht="18.75" hidden="false" customHeight="true" outlineLevel="0" collapsed="false">
      <c r="B8" s="6" t="s">
        <v>5</v>
      </c>
      <c r="C8" s="6"/>
    </row>
    <row r="9" customFormat="false" ht="32.25" hidden="false" customHeight="true" outlineLevel="0" collapsed="false">
      <c r="B9" s="6" t="s">
        <v>6</v>
      </c>
      <c r="C9" s="6"/>
    </row>
    <row r="10" customFormat="false" ht="18.75" hidden="false" customHeight="true" outlineLevel="0" collapsed="false">
      <c r="B10" s="6" t="s">
        <v>7</v>
      </c>
      <c r="C10" s="6"/>
    </row>
    <row r="12" customFormat="false" ht="21.75" hidden="false" customHeight="true" outlineLevel="0" collapsed="false">
      <c r="B12" s="5" t="s">
        <v>8</v>
      </c>
      <c r="C12" s="5"/>
    </row>
    <row r="13" customFormat="false" ht="19.5" hidden="false" customHeight="true" outlineLevel="0" collapsed="false">
      <c r="B13" s="7" t="s">
        <v>9</v>
      </c>
      <c r="C13" s="8" t="s">
        <v>10</v>
      </c>
    </row>
    <row r="14" customFormat="false" ht="32.25" hidden="false" customHeight="true" outlineLevel="0" collapsed="false">
      <c r="B14" s="9" t="s">
        <v>11</v>
      </c>
      <c r="C14" s="10" t="s">
        <v>12</v>
      </c>
    </row>
    <row r="15" customFormat="false" ht="32.25" hidden="false" customHeight="true" outlineLevel="0" collapsed="false">
      <c r="B15" s="9" t="s">
        <v>13</v>
      </c>
      <c r="C15" s="10" t="s">
        <v>14</v>
      </c>
    </row>
    <row r="16" customFormat="false" ht="32.25" hidden="false" customHeight="true" outlineLevel="0" collapsed="false">
      <c r="B16" s="9" t="s">
        <v>15</v>
      </c>
      <c r="C16" s="10" t="s">
        <v>16</v>
      </c>
    </row>
    <row r="17" customFormat="false" ht="32.25" hidden="false" customHeight="true" outlineLevel="0" collapsed="false">
      <c r="B17" s="9" t="s">
        <v>17</v>
      </c>
      <c r="C17" s="10" t="s">
        <v>18</v>
      </c>
    </row>
    <row r="18" customFormat="false" ht="32.25" hidden="false" customHeight="true" outlineLevel="0" collapsed="false">
      <c r="B18" s="9" t="s">
        <v>19</v>
      </c>
      <c r="C18" s="10" t="s">
        <v>20</v>
      </c>
    </row>
    <row r="20" customFormat="false" ht="21.75" hidden="false" customHeight="true" outlineLevel="0" collapsed="false">
      <c r="B20" s="5" t="s">
        <v>21</v>
      </c>
      <c r="C20" s="5"/>
    </row>
    <row r="21" customFormat="false" ht="21.75" hidden="false" customHeight="true" outlineLevel="0" collapsed="false">
      <c r="B21" s="11" t="n">
        <v>22000</v>
      </c>
      <c r="C21" s="12" t="s">
        <v>22</v>
      </c>
    </row>
    <row r="22" customFormat="false" ht="32.25" hidden="false" customHeight="true" outlineLevel="0" collapsed="false">
      <c r="B22" s="13" t="n">
        <v>12.88</v>
      </c>
      <c r="C22" s="12" t="s">
        <v>23</v>
      </c>
    </row>
    <row r="23" customFormat="false" ht="21.75" hidden="false" customHeight="true" outlineLevel="0" collapsed="false">
      <c r="B23" s="14" t="n">
        <v>57</v>
      </c>
      <c r="C23" s="12" t="s">
        <v>24</v>
      </c>
    </row>
    <row r="24" customFormat="false" ht="21.75" hidden="false" customHeight="true" outlineLevel="0" collapsed="false">
      <c r="B24" s="15" t="n">
        <v>11.52</v>
      </c>
      <c r="C24" s="12" t="s">
        <v>25</v>
      </c>
    </row>
    <row r="25" customFormat="false" ht="21.75" hidden="false" customHeight="true" outlineLevel="0" collapsed="false">
      <c r="B25" s="16" t="n">
        <v>14.7</v>
      </c>
      <c r="C25" s="12" t="s">
        <v>26</v>
      </c>
    </row>
    <row r="26" customFormat="false" ht="21.75" hidden="false" customHeight="true" outlineLevel="0" collapsed="false">
      <c r="B26" s="17" t="s">
        <v>27</v>
      </c>
      <c r="C26" s="12" t="s">
        <v>28</v>
      </c>
    </row>
    <row r="28" customFormat="false" ht="21.75" hidden="false" customHeight="true" outlineLevel="0" collapsed="false">
      <c r="B28" s="5" t="s">
        <v>29</v>
      </c>
      <c r="C28" s="5"/>
    </row>
    <row r="29" customFormat="false" ht="32.25" hidden="false" customHeight="true" outlineLevel="0" collapsed="false">
      <c r="B29" s="6" t="s">
        <v>30</v>
      </c>
      <c r="C29" s="6"/>
    </row>
    <row r="30" customFormat="false" ht="45.75" hidden="false" customHeight="true" outlineLevel="0" collapsed="false">
      <c r="B30" s="6" t="s">
        <v>31</v>
      </c>
      <c r="C30" s="6"/>
    </row>
    <row r="31" customFormat="false" ht="32.25" hidden="false" customHeight="true" outlineLevel="0" collapsed="false">
      <c r="B31" s="6" t="s">
        <v>32</v>
      </c>
      <c r="C31" s="6"/>
    </row>
    <row r="32" customFormat="false" ht="32.25" hidden="false" customHeight="true" outlineLevel="0" collapsed="false">
      <c r="B32" s="6" t="s">
        <v>33</v>
      </c>
      <c r="C32" s="6"/>
    </row>
    <row r="33" customFormat="false" ht="18.75" hidden="false" customHeight="true" outlineLevel="0" collapsed="false">
      <c r="B33" s="6" t="s">
        <v>34</v>
      </c>
      <c r="C33" s="6"/>
    </row>
    <row r="35" customFormat="false" ht="15.75" hidden="false" customHeight="true" outlineLevel="0" collapsed="false">
      <c r="B35" s="18" t="s">
        <v>35</v>
      </c>
      <c r="C35" s="18"/>
    </row>
    <row r="36" customFormat="false" ht="27.75" hidden="false" customHeight="true" outlineLevel="0" collapsed="false">
      <c r="B36" s="19" t="s">
        <v>36</v>
      </c>
      <c r="C36" s="19"/>
    </row>
  </sheetData>
  <mergeCells count="18">
    <mergeCell ref="B1:C1"/>
    <mergeCell ref="B2:C2"/>
    <mergeCell ref="B5:C5"/>
    <mergeCell ref="B6:C6"/>
    <mergeCell ref="B7:C7"/>
    <mergeCell ref="B8:C8"/>
    <mergeCell ref="B9:C9"/>
    <mergeCell ref="B10:C10"/>
    <mergeCell ref="B12:C12"/>
    <mergeCell ref="B20:C20"/>
    <mergeCell ref="B28:C28"/>
    <mergeCell ref="B29:C29"/>
    <mergeCell ref="B30:C30"/>
    <mergeCell ref="B31:C31"/>
    <mergeCell ref="B32:C32"/>
    <mergeCell ref="B33:C33"/>
    <mergeCell ref="B35:C35"/>
    <mergeCell ref="B36:C36"/>
  </mergeCells>
  <hyperlinks>
    <hyperlink ref="B14" location="'Ponto de equilíbrio'!A1" display="Ponto de equilíbrio  →"/>
    <hyperlink ref="B15" location="'Margem por canal'!A1" display="Margem por canal  →"/>
    <hyperlink ref="B16" location="'Preço (markup)'!A1" display="Preço (markup)  →"/>
    <hyperlink ref="B17" location="'Simulador de desconto'!A1" display="Simulador de desconto  →"/>
    <hyperlink ref="B18" location="'Ficha técnica'!A1" display="Ficha técnica  →"/>
  </hyperlinks>
  <printOptions headings="false" gridLines="false" gridLinesSet="true" horizontalCentered="true" verticalCentered="false"/>
  <pageMargins left="0.4" right="0.4" top="0.5" bottom="0.6" header="0.511811023622047" footer="0.2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&amp;C&amp;8 Placar do Dono · [@PREENCHER]&amp;R&amp;8 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1116"/>
    <pageSetUpPr fitToPage="true"/>
  </sheetPr>
  <dimension ref="A1:F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4" min="3" style="0" width="17"/>
    <col collapsed="false" customWidth="true" hidden="false" outlineLevel="0" max="5" min="5" style="0" width="22"/>
    <col collapsed="false" customWidth="true" hidden="false" outlineLevel="0" max="6" min="6" style="0" width="2"/>
  </cols>
  <sheetData>
    <row r="1" customFormat="false" ht="36" hidden="false" customHeight="true" outlineLevel="0" collapsed="false">
      <c r="A1" s="1"/>
      <c r="B1" s="20" t="s">
        <v>37</v>
      </c>
      <c r="C1" s="20"/>
      <c r="D1" s="20"/>
      <c r="E1" s="21" t="s">
        <v>38</v>
      </c>
      <c r="F1" s="1"/>
    </row>
    <row r="2" customFormat="false" ht="21.75" hidden="false" customHeight="true" outlineLevel="0" collapsed="false">
      <c r="A2" s="1"/>
      <c r="B2" s="3" t="s">
        <v>39</v>
      </c>
      <c r="C2" s="3"/>
      <c r="D2" s="3"/>
      <c r="E2" s="3"/>
      <c r="F2" s="1"/>
    </row>
    <row r="3" customFormat="false" ht="3.75" hidden="false" customHeight="true" outlineLevel="0" collapsed="false">
      <c r="A3" s="4"/>
      <c r="B3" s="4"/>
      <c r="C3" s="4"/>
      <c r="D3" s="4"/>
      <c r="E3" s="4"/>
      <c r="F3" s="4"/>
    </row>
    <row r="5" customFormat="false" ht="21.75" hidden="false" customHeight="true" outlineLevel="0" collapsed="false">
      <c r="B5" s="5" t="s">
        <v>40</v>
      </c>
      <c r="C5" s="22" t="s">
        <v>41</v>
      </c>
      <c r="D5" s="22"/>
      <c r="E5" s="22"/>
    </row>
    <row r="6" customFormat="false" ht="54" hidden="false" customHeight="true" outlineLevel="0" collapsed="false">
      <c r="B6" s="23" t="s">
        <v>42</v>
      </c>
      <c r="C6" s="24" t="n">
        <v>22000</v>
      </c>
      <c r="D6" s="25" t="s">
        <v>43</v>
      </c>
      <c r="E6" s="25"/>
    </row>
    <row r="7" customFormat="false" ht="19.5" hidden="false" customHeight="true" outlineLevel="0" collapsed="false">
      <c r="B7" s="23" t="s">
        <v>44</v>
      </c>
      <c r="C7" s="24" t="n">
        <v>46</v>
      </c>
      <c r="D7" s="25" t="s">
        <v>45</v>
      </c>
      <c r="E7" s="25"/>
    </row>
    <row r="8" customFormat="false" ht="42" hidden="false" customHeight="true" outlineLevel="0" collapsed="false">
      <c r="B8" s="23" t="s">
        <v>46</v>
      </c>
      <c r="C8" s="26" t="n">
        <v>0.28</v>
      </c>
      <c r="D8" s="25" t="s">
        <v>47</v>
      </c>
      <c r="E8" s="25"/>
    </row>
    <row r="9" customFormat="false" ht="19.5" hidden="false" customHeight="true" outlineLevel="0" collapsed="false">
      <c r="B9" s="23" t="s">
        <v>48</v>
      </c>
      <c r="C9" s="27" t="n">
        <v>30</v>
      </c>
      <c r="D9" s="25" t="s">
        <v>49</v>
      </c>
      <c r="E9" s="25"/>
    </row>
    <row r="11" customFormat="false" ht="21.75" hidden="false" customHeight="true" outlineLevel="0" collapsed="false">
      <c r="B11" s="5" t="s">
        <v>50</v>
      </c>
      <c r="C11" s="5"/>
      <c r="D11" s="5"/>
      <c r="E11" s="5"/>
    </row>
    <row r="12" customFormat="false" ht="21.75" hidden="false" customHeight="true" outlineLevel="0" collapsed="false">
      <c r="B12" s="28" t="s">
        <v>51</v>
      </c>
      <c r="C12" s="29" t="n">
        <f aca="false">C7*C8</f>
        <v>12.88</v>
      </c>
      <c r="D12" s="30" t="s">
        <v>52</v>
      </c>
      <c r="E12" s="30"/>
    </row>
    <row r="13" customFormat="false" ht="21.75" hidden="false" customHeight="true" outlineLevel="0" collapsed="false">
      <c r="B13" s="28" t="s">
        <v>53</v>
      </c>
      <c r="C13" s="31" t="n">
        <f aca="false">IF(N(C8)&gt;0,C6/C8,"")</f>
        <v>78571.4285714286</v>
      </c>
      <c r="D13" s="30" t="s">
        <v>54</v>
      </c>
      <c r="E13" s="30"/>
    </row>
    <row r="14" customFormat="false" ht="29.25" hidden="false" customHeight="true" outlineLevel="0" collapsed="false">
      <c r="B14" s="28" t="s">
        <v>55</v>
      </c>
      <c r="C14" s="32" t="n">
        <f aca="false">IF(N(C12)&gt;0,ROUNDUP(ROUND(C6/C12,6),0),"")</f>
        <v>1709</v>
      </c>
      <c r="D14" s="30" t="s">
        <v>56</v>
      </c>
      <c r="E14" s="30"/>
    </row>
    <row r="15" customFormat="false" ht="33.75" hidden="false" customHeight="true" outlineLevel="0" collapsed="false">
      <c r="B15" s="33" t="s">
        <v>57</v>
      </c>
      <c r="C15" s="34" t="n">
        <f aca="false">IF(AND(ISNUMBER(C14),N(C9)&gt;0),ROUNDUP(ROUND(C14/C9,6),0),"")</f>
        <v>57</v>
      </c>
      <c r="D15" s="30" t="s">
        <v>58</v>
      </c>
      <c r="E15" s="30"/>
    </row>
    <row r="16" customFormat="false" ht="33.75" hidden="false" customHeight="true" outlineLevel="0" collapsed="false">
      <c r="B16" s="35" t="str">
        <f aca="false">IF(ISNUMBER(C15),"Placar do dia: você começa perdendo de "&amp;C15&amp;" a 0 para os boletos. O pedido nº "&amp;(C15+1)&amp;" é o primeiro que é seu.","Preencha as células amarelas para ver o seu placar.")</f>
        <v>Placar do dia: você começa perdendo de 57 a 0 para os boletos. O pedido nº 58 é o primeiro que é seu.</v>
      </c>
      <c r="C16" s="35"/>
      <c r="D16" s="35"/>
      <c r="E16" s="35"/>
    </row>
    <row r="18" customFormat="false" ht="21.75" hidden="false" customHeight="true" outlineLevel="0" collapsed="false">
      <c r="B18" s="5" t="s">
        <v>59</v>
      </c>
      <c r="C18" s="5"/>
      <c r="D18" s="5"/>
      <c r="E18" s="5"/>
    </row>
    <row r="19" customFormat="false" ht="19.5" hidden="false" customHeight="true" outlineLevel="0" collapsed="false">
      <c r="B19" s="7" t="s">
        <v>60</v>
      </c>
      <c r="C19" s="36" t="s">
        <v>61</v>
      </c>
      <c r="D19" s="36" t="s">
        <v>62</v>
      </c>
      <c r="E19" s="36" t="s">
        <v>63</v>
      </c>
    </row>
    <row r="20" customFormat="false" ht="19.5" hidden="false" customHeight="true" outlineLevel="0" collapsed="false">
      <c r="B20" s="23" t="s">
        <v>42</v>
      </c>
      <c r="C20" s="37" t="n">
        <f aca="false">C6</f>
        <v>22000</v>
      </c>
      <c r="D20" s="24" t="n">
        <v>20000</v>
      </c>
      <c r="E20" s="38" t="n">
        <f aca="false">D20-C20</f>
        <v>-2000</v>
      </c>
    </row>
    <row r="21" customFormat="false" ht="19.5" hidden="false" customHeight="true" outlineLevel="0" collapsed="false">
      <c r="B21" s="23" t="s">
        <v>44</v>
      </c>
      <c r="C21" s="37" t="n">
        <f aca="false">C7</f>
        <v>46</v>
      </c>
      <c r="D21" s="24" t="n">
        <v>50</v>
      </c>
      <c r="E21" s="38" t="n">
        <f aca="false">D21-C21</f>
        <v>4</v>
      </c>
    </row>
    <row r="22" customFormat="false" ht="19.5" hidden="false" customHeight="true" outlineLevel="0" collapsed="false">
      <c r="B22" s="23" t="s">
        <v>46</v>
      </c>
      <c r="C22" s="39" t="n">
        <f aca="false">C8</f>
        <v>0.28</v>
      </c>
      <c r="D22" s="26" t="n">
        <v>0.3</v>
      </c>
      <c r="E22" s="40" t="n">
        <f aca="false">(D22-C22)*100</f>
        <v>2</v>
      </c>
    </row>
    <row r="23" customFormat="false" ht="17.25" hidden="false" customHeight="true" outlineLevel="0" collapsed="false">
      <c r="B23" s="41" t="s">
        <v>64</v>
      </c>
      <c r="C23" s="41"/>
      <c r="D23" s="41"/>
      <c r="E23" s="41"/>
    </row>
    <row r="24" customFormat="false" ht="21.75" hidden="false" customHeight="true" outlineLevel="0" collapsed="false">
      <c r="B24" s="28" t="s">
        <v>51</v>
      </c>
      <c r="C24" s="42" t="n">
        <f aca="false">C12</f>
        <v>12.88</v>
      </c>
      <c r="D24" s="42" t="n">
        <f aca="false">D21*D22</f>
        <v>15</v>
      </c>
      <c r="E24" s="43" t="n">
        <f aca="false">IF(AND(ISNUMBER(C24),ISNUMBER(D24)),D24-C24,"")</f>
        <v>2.12</v>
      </c>
    </row>
    <row r="25" customFormat="false" ht="21.75" hidden="false" customHeight="true" outlineLevel="0" collapsed="false">
      <c r="B25" s="28" t="s">
        <v>53</v>
      </c>
      <c r="C25" s="44" t="n">
        <f aca="false">C13</f>
        <v>78571.4285714286</v>
      </c>
      <c r="D25" s="44" t="n">
        <f aca="false">IF(N(D22)&gt;0,D20/D22,"")</f>
        <v>66666.6666666667</v>
      </c>
      <c r="E25" s="43" t="n">
        <f aca="false">IF(AND(ISNUMBER(C25),ISNUMBER(D25)),D25-C25,"")</f>
        <v>-11904.7619047619</v>
      </c>
    </row>
    <row r="26" customFormat="false" ht="21.75" hidden="false" customHeight="true" outlineLevel="0" collapsed="false">
      <c r="B26" s="28" t="s">
        <v>55</v>
      </c>
      <c r="C26" s="45" t="n">
        <f aca="false">C14</f>
        <v>1709</v>
      </c>
      <c r="D26" s="45" t="n">
        <f aca="false">IF(N(D24)&gt;0,ROUNDUP(ROUND(D20/D24,6),0),"")</f>
        <v>1334</v>
      </c>
      <c r="E26" s="46" t="n">
        <f aca="false">IF(AND(ISNUMBER(C26),ISNUMBER(D26)),D26-C26,"")</f>
        <v>-375</v>
      </c>
    </row>
    <row r="27" customFormat="false" ht="31.5" hidden="false" customHeight="true" outlineLevel="0" collapsed="false">
      <c r="B27" s="33" t="s">
        <v>57</v>
      </c>
      <c r="C27" s="47" t="n">
        <f aca="false">C15</f>
        <v>57</v>
      </c>
      <c r="D27" s="48" t="n">
        <f aca="false">IF(AND(ISNUMBER(D26),N(C9)&gt;0),ROUNDUP(ROUND(D26/C9,6),0),"")</f>
        <v>45</v>
      </c>
      <c r="E27" s="49" t="n">
        <f aca="false">IF(AND(ISNUMBER(C27),ISNUMBER(D27)),D27-C27,"")</f>
        <v>-12</v>
      </c>
    </row>
    <row r="28" customFormat="false" ht="33.75" hidden="false" customHeight="true" outlineLevel="0" collapsed="false">
      <c r="B28" s="50" t="str">
        <f aca="false">IF(ISNUMBER(E27),IF(E27&lt;0,"Virando o jogo, a meta cai de "&amp;C27&amp;" para "&amp;D27&amp;" pedidos por dia: "&amp;ABS(E27)&amp;" pedidos a menos só para empatar.",IF(E27=0,"Com essas jogadas, o placar não muda.","Cuidado: com essas jogadas você precisa de "&amp;E27&amp;" pedidos a mais por dia.")),"")</f>
        <v>Virando o jogo, a meta cai de 57 para 45 pedidos por dia: 12 pedidos a menos só para empatar.</v>
      </c>
      <c r="C28" s="50"/>
      <c r="D28" s="50"/>
      <c r="E28" s="50"/>
    </row>
    <row r="30" customFormat="false" ht="21.75" hidden="false" customHeight="true" outlineLevel="0" collapsed="false">
      <c r="B30" s="5" t="s">
        <v>65</v>
      </c>
      <c r="C30" s="5"/>
      <c r="D30" s="5"/>
      <c r="E30" s="5"/>
    </row>
    <row r="31" customFormat="false" ht="17.25" hidden="false" customHeight="true" outlineLevel="0" collapsed="false">
      <c r="B31" s="51" t="s">
        <v>66</v>
      </c>
      <c r="C31" s="51"/>
      <c r="D31" s="51"/>
      <c r="E31" s="51"/>
    </row>
    <row r="32" customFormat="false" ht="17.25" hidden="false" customHeight="true" outlineLevel="0" collapsed="false">
      <c r="B32" s="51" t="s">
        <v>67</v>
      </c>
      <c r="C32" s="51"/>
      <c r="D32" s="51"/>
      <c r="E32" s="51"/>
    </row>
    <row r="33" customFormat="false" ht="29.25" hidden="false" customHeight="true" outlineLevel="0" collapsed="false">
      <c r="B33" s="51" t="s">
        <v>68</v>
      </c>
      <c r="C33" s="51"/>
      <c r="D33" s="51"/>
      <c r="E33" s="51"/>
    </row>
    <row r="34" customFormat="false" ht="29.25" hidden="false" customHeight="true" outlineLevel="0" collapsed="false">
      <c r="B34" s="51" t="s">
        <v>69</v>
      </c>
      <c r="C34" s="51"/>
      <c r="D34" s="51"/>
      <c r="E34" s="51"/>
    </row>
    <row r="35" customFormat="false" ht="29.25" hidden="false" customHeight="true" outlineLevel="0" collapsed="false">
      <c r="B35" s="51" t="s">
        <v>70</v>
      </c>
      <c r="C35" s="51"/>
      <c r="D35" s="51"/>
      <c r="E35" s="51"/>
    </row>
  </sheetData>
  <mergeCells count="22">
    <mergeCell ref="B1:D1"/>
    <mergeCell ref="B2:E2"/>
    <mergeCell ref="C5:E5"/>
    <mergeCell ref="D6:E6"/>
    <mergeCell ref="D7:E7"/>
    <mergeCell ref="D8:E8"/>
    <mergeCell ref="D9:E9"/>
    <mergeCell ref="B11:E11"/>
    <mergeCell ref="D12:E12"/>
    <mergeCell ref="D13:E13"/>
    <mergeCell ref="D14:E14"/>
    <mergeCell ref="D15:E15"/>
    <mergeCell ref="B16:E16"/>
    <mergeCell ref="B18:E18"/>
    <mergeCell ref="B23:E23"/>
    <mergeCell ref="B28:E28"/>
    <mergeCell ref="B30:E30"/>
    <mergeCell ref="B31:E31"/>
    <mergeCell ref="B32:E32"/>
    <mergeCell ref="B33:E33"/>
    <mergeCell ref="B34:E34"/>
    <mergeCell ref="B35:E35"/>
  </mergeCells>
  <conditionalFormatting sqref="E27">
    <cfRule type="cellIs" priority="2" operator="greaterThan" aboveAverage="0" equalAverage="0" bottom="0" percent="0" rank="0" text="" dxfId="0">
      <formula>0</formula>
    </cfRule>
  </conditionalFormatting>
  <conditionalFormatting sqref="C12:D12">
    <cfRule type="cellIs" priority="3" operator="lessThan" aboveAverage="0" equalAverage="0" bottom="0" percent="0" rank="0" text="" dxfId="0">
      <formula>0</formula>
    </cfRule>
  </conditionalFormatting>
  <dataValidations count="3">
    <dataValidation allowBlank="true" error="Digite um valor em reais, sem o R$. Ex.: 22000 ou 14,70" errorStyle="stop" errorTitle="Valor em reais" operator="greaterThanOrEqual" showDropDown="false" showErrorMessage="true" showInputMessage="false" sqref="C6:C7 D20:D21" type="decimal">
      <formula1>0</formula1>
      <formula2>0</formula2>
    </dataValidation>
    <dataValidation allowBlank="true" error="Digite um percentual entre 0% e 100%, com o sinal de %. Ex.: 28%" errorStyle="stop" errorTitle="Percentual" operator="between" showDropDown="false" showErrorMessage="true" showInputMessage="false" sqref="C8 D22" type="decimal">
      <formula1>0</formula1>
      <formula2>1</formula2>
    </dataValidation>
    <dataValidation allowBlank="true" error="Digite quantos dias a cozinha abre no mês (1 a 31)." errorStyle="stop" errorTitle="Dias abertos" operator="between" showDropDown="false" showErrorMessage="true" showInputMessage="false" sqref="C9" type="whole">
      <formula1>1</formula1>
      <formula2>31</formula2>
    </dataValidation>
  </dataValidations>
  <printOptions headings="false" gridLines="false" gridLinesSet="true" horizontalCentered="true" verticalCentered="false"/>
  <pageMargins left="0.4" right="0.4" top="0.5" bottom="0.6" header="0.511811023622047" footer="0.2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&amp;C&amp;8 Placar do Dono · [@PREENCHER]&amp;R&amp;8 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1116"/>
    <pageSetUpPr fitToPage="true"/>
  </sheetPr>
  <dimension ref="A1:G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6" min="3" style="0" width="16"/>
    <col collapsed="false" customWidth="true" hidden="false" outlineLevel="0" max="7" min="7" style="0" width="2"/>
  </cols>
  <sheetData>
    <row r="1" customFormat="false" ht="36" hidden="false" customHeight="true" outlineLevel="0" collapsed="false">
      <c r="A1" s="1"/>
      <c r="B1" s="20" t="s">
        <v>71</v>
      </c>
      <c r="C1" s="20"/>
      <c r="D1" s="20"/>
      <c r="E1" s="52" t="s">
        <v>38</v>
      </c>
      <c r="F1" s="52"/>
      <c r="G1" s="1"/>
    </row>
    <row r="2" customFormat="false" ht="32.25" hidden="false" customHeight="true" outlineLevel="0" collapsed="false">
      <c r="A2" s="1"/>
      <c r="B2" s="3" t="s">
        <v>72</v>
      </c>
      <c r="C2" s="3"/>
      <c r="D2" s="3"/>
      <c r="E2" s="3"/>
      <c r="F2" s="3"/>
      <c r="G2" s="1"/>
    </row>
    <row r="3" customFormat="false" ht="3.75" hidden="false" customHeight="true" outlineLevel="0" collapsed="false">
      <c r="A3" s="4"/>
      <c r="B3" s="4"/>
      <c r="C3" s="4"/>
      <c r="D3" s="4"/>
      <c r="E3" s="4"/>
      <c r="F3" s="4"/>
      <c r="G3" s="4"/>
    </row>
    <row r="5" customFormat="false" ht="21.75" hidden="false" customHeight="true" outlineLevel="0" collapsed="false">
      <c r="B5" s="5" t="s">
        <v>73</v>
      </c>
      <c r="C5" s="5"/>
      <c r="D5" s="22" t="s">
        <v>41</v>
      </c>
      <c r="E5" s="22"/>
      <c r="F5" s="22"/>
    </row>
    <row r="6" customFormat="false" ht="19.5" hidden="false" customHeight="true" outlineLevel="0" collapsed="false">
      <c r="B6" s="23" t="s">
        <v>74</v>
      </c>
      <c r="C6" s="53" t="s">
        <v>75</v>
      </c>
      <c r="D6" s="53"/>
      <c r="E6" s="25" t="s">
        <v>76</v>
      </c>
      <c r="F6" s="25"/>
    </row>
    <row r="7" customFormat="false" ht="19.5" hidden="false" customHeight="true" outlineLevel="0" collapsed="false">
      <c r="B7" s="23" t="s">
        <v>77</v>
      </c>
      <c r="C7" s="24" t="n">
        <v>38</v>
      </c>
      <c r="D7" s="25" t="s">
        <v>78</v>
      </c>
      <c r="E7" s="25"/>
      <c r="F7" s="25"/>
    </row>
    <row r="8" customFormat="false" ht="19.5" hidden="false" customHeight="true" outlineLevel="0" collapsed="false">
      <c r="B8" s="23" t="s">
        <v>79</v>
      </c>
      <c r="C8" s="24" t="n">
        <v>14.7</v>
      </c>
      <c r="D8" s="25" t="s">
        <v>80</v>
      </c>
      <c r="E8" s="25"/>
      <c r="F8" s="25"/>
    </row>
    <row r="10" customFormat="false" ht="21.75" hidden="false" customHeight="true" outlineLevel="0" collapsed="false">
      <c r="B10" s="5" t="s">
        <v>81</v>
      </c>
      <c r="C10" s="5"/>
      <c r="D10" s="5"/>
      <c r="E10" s="22" t="s">
        <v>82</v>
      </c>
      <c r="F10" s="22"/>
    </row>
    <row r="11" customFormat="false" ht="19.5" hidden="false" customHeight="true" outlineLevel="0" collapsed="false">
      <c r="B11" s="54" t="s">
        <v>83</v>
      </c>
      <c r="C11" s="55" t="s">
        <v>84</v>
      </c>
      <c r="D11" s="55" t="s">
        <v>85</v>
      </c>
      <c r="E11" s="55" t="s">
        <v>86</v>
      </c>
      <c r="F11" s="55" t="s">
        <v>87</v>
      </c>
    </row>
    <row r="12" customFormat="false" ht="19.5" hidden="false" customHeight="true" outlineLevel="0" collapsed="false">
      <c r="B12" s="23" t="s">
        <v>88</v>
      </c>
      <c r="C12" s="26" t="n">
        <v>0.12</v>
      </c>
      <c r="D12" s="26" t="n">
        <v>0.23</v>
      </c>
      <c r="E12" s="26" t="n">
        <v>0</v>
      </c>
      <c r="F12" s="26"/>
    </row>
    <row r="13" customFormat="false" ht="19.5" hidden="false" customHeight="true" outlineLevel="0" collapsed="false">
      <c r="B13" s="23" t="s">
        <v>89</v>
      </c>
      <c r="C13" s="26" t="n">
        <v>0.032</v>
      </c>
      <c r="D13" s="26" t="n">
        <v>0.032</v>
      </c>
      <c r="E13" s="26" t="n">
        <v>0.01</v>
      </c>
      <c r="F13" s="26"/>
    </row>
    <row r="14" customFormat="false" ht="19.5" hidden="false" customHeight="true" outlineLevel="0" collapsed="false">
      <c r="B14" s="23" t="s">
        <v>90</v>
      </c>
      <c r="C14" s="26" t="n">
        <v>0.06</v>
      </c>
      <c r="D14" s="26" t="n">
        <v>0.06</v>
      </c>
      <c r="E14" s="26" t="n">
        <v>0.06</v>
      </c>
      <c r="F14" s="26" t="n">
        <v>0.06</v>
      </c>
    </row>
    <row r="15" customFormat="false" ht="19.5" hidden="false" customHeight="true" outlineLevel="0" collapsed="false">
      <c r="B15" s="23" t="s">
        <v>91</v>
      </c>
      <c r="C15" s="24" t="n">
        <v>5</v>
      </c>
      <c r="D15" s="24" t="n">
        <v>0</v>
      </c>
      <c r="E15" s="24" t="n">
        <v>5</v>
      </c>
      <c r="F15" s="24"/>
    </row>
    <row r="16" customFormat="false" ht="19.5" hidden="false" customHeight="true" outlineLevel="0" collapsed="false">
      <c r="B16" s="23" t="s">
        <v>92</v>
      </c>
      <c r="C16" s="24" t="n">
        <v>0</v>
      </c>
      <c r="D16" s="24" t="n">
        <v>0</v>
      </c>
      <c r="E16" s="24" t="n">
        <v>0</v>
      </c>
      <c r="F16" s="24"/>
    </row>
    <row r="17" customFormat="false" ht="54" hidden="false" customHeight="true" outlineLevel="0" collapsed="false">
      <c r="B17" s="41" t="s">
        <v>93</v>
      </c>
      <c r="C17" s="41"/>
      <c r="D17" s="41"/>
      <c r="E17" s="41"/>
      <c r="F17" s="41"/>
    </row>
    <row r="19" customFormat="false" ht="21.75" hidden="false" customHeight="true" outlineLevel="0" collapsed="false">
      <c r="B19" s="5" t="s">
        <v>94</v>
      </c>
      <c r="C19" s="5"/>
      <c r="D19" s="5"/>
      <c r="E19" s="5"/>
      <c r="F19" s="5"/>
    </row>
    <row r="20" customFormat="false" ht="19.5" hidden="false" customHeight="true" outlineLevel="0" collapsed="false">
      <c r="B20" s="7" t="s">
        <v>95</v>
      </c>
      <c r="C20" s="36" t="str">
        <f aca="false">C11</f>
        <v>iFood Básico</v>
      </c>
      <c r="D20" s="36" t="str">
        <f aca="false">D11</f>
        <v>iFood Entrega</v>
      </c>
      <c r="E20" s="36" t="str">
        <f aca="false">E11</f>
        <v>Canal próprio</v>
      </c>
      <c r="F20" s="36" t="str">
        <f aca="false">F11</f>
        <v>Outro app</v>
      </c>
    </row>
    <row r="21" customFormat="false" ht="19.5" hidden="false" customHeight="true" outlineLevel="0" collapsed="false">
      <c r="B21" s="28" t="s">
        <v>96</v>
      </c>
      <c r="C21" s="56" t="n">
        <f aca="false">IF(AND(ISNUMBER(C12),ISNUMBER($C$7)),$C$7-C16,"")</f>
        <v>38</v>
      </c>
      <c r="D21" s="56" t="n">
        <f aca="false">IF(AND(ISNUMBER(D12),ISNUMBER($C$7)),$C$7-D16,"")</f>
        <v>38</v>
      </c>
      <c r="E21" s="56" t="n">
        <f aca="false">IF(AND(ISNUMBER(E12),ISNUMBER($C$7)),$C$7-E16,"")</f>
        <v>38</v>
      </c>
      <c r="F21" s="56" t="str">
        <f aca="false">IF(AND(ISNUMBER(F12),ISNUMBER($C$7)),$C$7-F16,"")</f>
        <v/>
      </c>
    </row>
    <row r="22" customFormat="false" ht="19.5" hidden="false" customHeight="true" outlineLevel="0" collapsed="false">
      <c r="B22" s="28" t="s">
        <v>97</v>
      </c>
      <c r="C22" s="57" t="n">
        <f aca="false">IF(AND(ISNUMBER(C12),ISNUMBER($C$7)),$C$8,"")</f>
        <v>14.7</v>
      </c>
      <c r="D22" s="57" t="n">
        <f aca="false">IF(AND(ISNUMBER(D12),ISNUMBER($C$7)),$C$8,"")</f>
        <v>14.7</v>
      </c>
      <c r="E22" s="57" t="n">
        <f aca="false">IF(AND(ISNUMBER(E12),ISNUMBER($C$7)),$C$8,"")</f>
        <v>14.7</v>
      </c>
      <c r="F22" s="57" t="str">
        <f aca="false">IF(AND(ISNUMBER(F12),ISNUMBER($C$7)),$C$8,"")</f>
        <v/>
      </c>
    </row>
    <row r="23" customFormat="false" ht="19.5" hidden="false" customHeight="true" outlineLevel="0" collapsed="false">
      <c r="B23" s="28" t="s">
        <v>98</v>
      </c>
      <c r="C23" s="57" t="n">
        <f aca="false">IF(AND(ISNUMBER(C12),ISNUMBER($C$7)),ROUND(C21*C12,2),"")</f>
        <v>4.56</v>
      </c>
      <c r="D23" s="57" t="n">
        <f aca="false">IF(AND(ISNUMBER(D12),ISNUMBER($C$7)),ROUND(D21*D12,2),"")</f>
        <v>8.74</v>
      </c>
      <c r="E23" s="57" t="n">
        <f aca="false">IF(AND(ISNUMBER(E12),ISNUMBER($C$7)),ROUND(E21*E12,2),"")</f>
        <v>0</v>
      </c>
      <c r="F23" s="57" t="str">
        <f aca="false">IF(AND(ISNUMBER(F12),ISNUMBER($C$7)),ROUND(F21*F12,2),"")</f>
        <v/>
      </c>
    </row>
    <row r="24" customFormat="false" ht="19.5" hidden="false" customHeight="true" outlineLevel="0" collapsed="false">
      <c r="B24" s="28" t="s">
        <v>99</v>
      </c>
      <c r="C24" s="57" t="n">
        <f aca="false">IF(AND(ISNUMBER(C12),ISNUMBER($C$7)),ROUND(C21*C13,2),"")</f>
        <v>1.22</v>
      </c>
      <c r="D24" s="57" t="n">
        <f aca="false">IF(AND(ISNUMBER(D12),ISNUMBER($C$7)),ROUND(D21*D13,2),"")</f>
        <v>1.22</v>
      </c>
      <c r="E24" s="57" t="n">
        <f aca="false">IF(AND(ISNUMBER(E12),ISNUMBER($C$7)),ROUND(E21*E13,2),"")</f>
        <v>0.38</v>
      </c>
      <c r="F24" s="57" t="str">
        <f aca="false">IF(AND(ISNUMBER(F12),ISNUMBER($C$7)),ROUND(F21*F13,2),"")</f>
        <v/>
      </c>
    </row>
    <row r="25" customFormat="false" ht="19.5" hidden="false" customHeight="true" outlineLevel="0" collapsed="false">
      <c r="B25" s="28" t="s">
        <v>100</v>
      </c>
      <c r="C25" s="57" t="n">
        <f aca="false">IF(AND(ISNUMBER(C12),ISNUMBER($C$7)),ROUND(C21*C14,2),"")</f>
        <v>2.28</v>
      </c>
      <c r="D25" s="57" t="n">
        <f aca="false">IF(AND(ISNUMBER(D12),ISNUMBER($C$7)),ROUND(D21*D14,2),"")</f>
        <v>2.28</v>
      </c>
      <c r="E25" s="57" t="n">
        <f aca="false">IF(AND(ISNUMBER(E12),ISNUMBER($C$7)),ROUND(E21*E14,2),"")</f>
        <v>2.28</v>
      </c>
      <c r="F25" s="57" t="str">
        <f aca="false">IF(AND(ISNUMBER(F12),ISNUMBER($C$7)),ROUND(F21*F14,2),"")</f>
        <v/>
      </c>
    </row>
    <row r="26" customFormat="false" ht="19.5" hidden="false" customHeight="true" outlineLevel="0" collapsed="false">
      <c r="B26" s="28" t="s">
        <v>101</v>
      </c>
      <c r="C26" s="57" t="n">
        <f aca="false">IF(AND(ISNUMBER(C12),ISNUMBER($C$7)),C15+0,"")</f>
        <v>5</v>
      </c>
      <c r="D26" s="57" t="n">
        <f aca="false">IF(AND(ISNUMBER(D12),ISNUMBER($C$7)),D15+0,"")</f>
        <v>0</v>
      </c>
      <c r="E26" s="57" t="n">
        <f aca="false">IF(AND(ISNUMBER(E12),ISNUMBER($C$7)),E15+0,"")</f>
        <v>5</v>
      </c>
      <c r="F26" s="57" t="str">
        <f aca="false">IF(AND(ISNUMBER(F12),ISNUMBER($C$7)),F15+0,"")</f>
        <v/>
      </c>
    </row>
    <row r="27" customFormat="false" ht="19.5" hidden="false" customHeight="true" outlineLevel="0" collapsed="false">
      <c r="B27" s="33" t="s">
        <v>102</v>
      </c>
      <c r="C27" s="57" t="n">
        <f aca="false">IF(AND(ISNUMBER(C12),ISNUMBER($C$7)),SUM(C22:C26),"")</f>
        <v>27.76</v>
      </c>
      <c r="D27" s="57" t="n">
        <f aca="false">IF(AND(ISNUMBER(D12),ISNUMBER($C$7)),SUM(D22:D26),"")</f>
        <v>26.94</v>
      </c>
      <c r="E27" s="57" t="n">
        <f aca="false">IF(AND(ISNUMBER(E12),ISNUMBER($C$7)),SUM(E22:E26),"")</f>
        <v>22.36</v>
      </c>
      <c r="F27" s="57" t="str">
        <f aca="false">IF(AND(ISNUMBER(F12),ISNUMBER($C$7)),SUM(F22:F26),"")</f>
        <v/>
      </c>
    </row>
    <row r="28" customFormat="false" ht="25.5" hidden="false" customHeight="true" outlineLevel="0" collapsed="false">
      <c r="B28" s="33" t="s">
        <v>103</v>
      </c>
      <c r="C28" s="58" t="n">
        <f aca="false">IF(AND(ISNUMBER(C12),ISNUMBER($C$7)),C21-C27,"preencha a comissão")</f>
        <v>10.24</v>
      </c>
      <c r="D28" s="58" t="n">
        <f aca="false">IF(AND(ISNUMBER(D12),ISNUMBER($C$7)),D21-D27,"preencha a comissão")</f>
        <v>11.06</v>
      </c>
      <c r="E28" s="58" t="n">
        <f aca="false">IF(AND(ISNUMBER(E12),ISNUMBER($C$7)),E21-E27,"preencha a comissão")</f>
        <v>15.64</v>
      </c>
      <c r="F28" s="58" t="str">
        <f aca="false">IF(AND(ISNUMBER(F12),ISNUMBER($C$7)),F21-F27,"preencha a comissão")</f>
        <v>preencha a comissão</v>
      </c>
    </row>
    <row r="29" customFormat="false" ht="19.5" hidden="false" customHeight="true" outlineLevel="0" collapsed="false">
      <c r="B29" s="33" t="s">
        <v>104</v>
      </c>
      <c r="C29" s="59" t="n">
        <f aca="false">IF(AND(ISNUMBER(C12),ISNUMBER($C$7)),IF(C21&gt;0,C28/C21,""),"")</f>
        <v>0.269473684210526</v>
      </c>
      <c r="D29" s="59" t="n">
        <f aca="false">IF(AND(ISNUMBER(D12),ISNUMBER($C$7)),IF(D21&gt;0,D28/D21,""),"")</f>
        <v>0.291052631578947</v>
      </c>
      <c r="E29" s="59" t="n">
        <f aca="false">IF(AND(ISNUMBER(E12),ISNUMBER($C$7)),IF(E21&gt;0,E28/E21,""),"")</f>
        <v>0.411578947368421</v>
      </c>
      <c r="F29" s="59" t="str">
        <f aca="false">IF(AND(ISNUMBER(F12),ISNUMBER($C$7)),IF(F21&gt;0,F28/F21,""),"")</f>
        <v/>
      </c>
    </row>
    <row r="30" customFormat="false" ht="24" hidden="false" customHeight="true" outlineLevel="0" collapsed="false">
      <c r="B30" s="33" t="s">
        <v>105</v>
      </c>
      <c r="C30" s="60" t="str">
        <f aca="false">IF(COUNT(C28:F28)=0,"",INDEX(C20:F20,MATCH(MAX(C28:F28),C28:F28,0)))</f>
        <v>Canal próprio</v>
      </c>
      <c r="D30" s="60"/>
      <c r="E30" s="60"/>
      <c r="F30" s="60"/>
    </row>
    <row r="32" customFormat="false" ht="21.75" hidden="false" customHeight="true" outlineLevel="0" collapsed="false">
      <c r="B32" s="5" t="s">
        <v>65</v>
      </c>
      <c r="C32" s="5"/>
      <c r="D32" s="5"/>
      <c r="E32" s="5"/>
      <c r="F32" s="5"/>
    </row>
    <row r="33" customFormat="false" ht="29.25" hidden="false" customHeight="true" outlineLevel="0" collapsed="false">
      <c r="B33" s="51" t="s">
        <v>106</v>
      </c>
      <c r="C33" s="51"/>
      <c r="D33" s="51"/>
      <c r="E33" s="51"/>
      <c r="F33" s="51"/>
    </row>
    <row r="34" customFormat="false" ht="29.25" hidden="false" customHeight="true" outlineLevel="0" collapsed="false">
      <c r="B34" s="51" t="s">
        <v>107</v>
      </c>
      <c r="C34" s="51"/>
      <c r="D34" s="51"/>
      <c r="E34" s="51"/>
      <c r="F34" s="51"/>
    </row>
    <row r="35" customFormat="false" ht="29.25" hidden="false" customHeight="true" outlineLevel="0" collapsed="false">
      <c r="B35" s="51" t="s">
        <v>108</v>
      </c>
      <c r="C35" s="51"/>
      <c r="D35" s="51"/>
      <c r="E35" s="51"/>
      <c r="F35" s="51"/>
    </row>
    <row r="36" customFormat="false" ht="17.25" hidden="false" customHeight="true" outlineLevel="0" collapsed="false">
      <c r="B36" s="51" t="s">
        <v>109</v>
      </c>
      <c r="C36" s="51"/>
      <c r="D36" s="51"/>
      <c r="E36" s="51"/>
      <c r="F36" s="51"/>
    </row>
    <row r="37" customFormat="false" ht="29.25" hidden="false" customHeight="true" outlineLevel="0" collapsed="false">
      <c r="B37" s="51" t="s">
        <v>110</v>
      </c>
      <c r="C37" s="51"/>
      <c r="D37" s="51"/>
      <c r="E37" s="51"/>
      <c r="F37" s="51"/>
    </row>
  </sheetData>
  <mergeCells count="20">
    <mergeCell ref="B1:D1"/>
    <mergeCell ref="E1:F1"/>
    <mergeCell ref="B2:F2"/>
    <mergeCell ref="B5:C5"/>
    <mergeCell ref="D5:F5"/>
    <mergeCell ref="C6:D6"/>
    <mergeCell ref="E6:F6"/>
    <mergeCell ref="D7:F7"/>
    <mergeCell ref="D8:F8"/>
    <mergeCell ref="B10:D10"/>
    <mergeCell ref="E10:F10"/>
    <mergeCell ref="B17:F17"/>
    <mergeCell ref="B19:F19"/>
    <mergeCell ref="C30:F30"/>
    <mergeCell ref="B32:F32"/>
    <mergeCell ref="B33:F33"/>
    <mergeCell ref="B34:F34"/>
    <mergeCell ref="B35:F35"/>
    <mergeCell ref="B36:F36"/>
    <mergeCell ref="B37:F37"/>
  </mergeCells>
  <conditionalFormatting sqref="C28:F29">
    <cfRule type="cellIs" priority="2" operator="lessThan" aboveAverage="0" equalAverage="0" bottom="0" percent="0" rank="0" text="" dxfId="0">
      <formula>0</formula>
    </cfRule>
  </conditionalFormatting>
  <conditionalFormatting sqref="C28:F28">
    <cfRule type="expression" priority="3" aboveAverage="0" equalAverage="0" bottom="0" percent="0" rank="0" text="" dxfId="1">
      <formula>ISTEXT(C28)</formula>
    </cfRule>
  </conditionalFormatting>
  <dataValidations count="2">
    <dataValidation allowBlank="true" error="Digite um valor em reais, sem o R$. Ex.: 22000 ou 14,70" errorStyle="stop" errorTitle="Valor em reais" operator="greaterThanOrEqual" showDropDown="false" showErrorMessage="true" showInputMessage="false" sqref="C7:C8 C15:F16" type="decimal">
      <formula1>0</formula1>
      <formula2>0</formula2>
    </dataValidation>
    <dataValidation allowBlank="true" error="Digite um percentual entre 0% e 100%, com o sinal de %. Ex.: 28%" errorStyle="stop" errorTitle="Percentual" operator="between" showDropDown="false" showErrorMessage="true" showInputMessage="false" sqref="C12:F14" type="decimal">
      <formula1>0</formula1>
      <formula2>1</formula2>
    </dataValidation>
  </dataValidations>
  <printOptions headings="false" gridLines="false" gridLinesSet="true" horizontalCentered="true" verticalCentered="false"/>
  <pageMargins left="0.4" right="0.4" top="0.5" bottom="0.6" header="0.511811023622047" footer="0.2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&amp;C&amp;8 Placar do Dono · [@PREENCHER]&amp;R&amp;8 &amp;P/&amp;N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1116"/>
    <pageSetUpPr fitToPage="true"/>
  </sheetPr>
  <dimension ref="A1:F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4" min="3" style="0" width="17"/>
    <col collapsed="false" customWidth="true" hidden="false" outlineLevel="0" max="5" min="5" style="0" width="30"/>
    <col collapsed="false" customWidth="true" hidden="false" outlineLevel="0" max="6" min="6" style="0" width="2"/>
  </cols>
  <sheetData>
    <row r="1" customFormat="false" ht="36" hidden="false" customHeight="true" outlineLevel="0" collapsed="false">
      <c r="A1" s="1"/>
      <c r="B1" s="20" t="s">
        <v>111</v>
      </c>
      <c r="C1" s="20"/>
      <c r="D1" s="20"/>
      <c r="E1" s="21" t="s">
        <v>38</v>
      </c>
      <c r="F1" s="1"/>
    </row>
    <row r="2" customFormat="false" ht="32.25" hidden="false" customHeight="true" outlineLevel="0" collapsed="false">
      <c r="A2" s="1"/>
      <c r="B2" s="3" t="s">
        <v>112</v>
      </c>
      <c r="C2" s="3"/>
      <c r="D2" s="3"/>
      <c r="E2" s="3"/>
      <c r="F2" s="1"/>
    </row>
    <row r="3" customFormat="false" ht="3.75" hidden="false" customHeight="true" outlineLevel="0" collapsed="false">
      <c r="A3" s="4"/>
      <c r="B3" s="4"/>
      <c r="C3" s="4"/>
      <c r="D3" s="4"/>
      <c r="E3" s="4"/>
      <c r="F3" s="4"/>
    </row>
    <row r="5" customFormat="false" ht="21.75" hidden="false" customHeight="true" outlineLevel="0" collapsed="false">
      <c r="B5" s="5" t="s">
        <v>113</v>
      </c>
      <c r="C5" s="5"/>
      <c r="D5" s="22" t="s">
        <v>41</v>
      </c>
      <c r="E5" s="22"/>
    </row>
    <row r="6" customFormat="false" ht="19.5" hidden="false" customHeight="true" outlineLevel="0" collapsed="false">
      <c r="B6" s="23" t="s">
        <v>79</v>
      </c>
      <c r="C6" s="24" t="n">
        <v>14.7</v>
      </c>
      <c r="D6" s="25" t="s">
        <v>80</v>
      </c>
      <c r="E6" s="25"/>
    </row>
    <row r="7" customFormat="false" ht="29.25" hidden="false" customHeight="true" outlineLevel="0" collapsed="false">
      <c r="B7" s="23" t="s">
        <v>114</v>
      </c>
      <c r="C7" s="26" t="n">
        <v>0.31</v>
      </c>
      <c r="D7" s="25" t="s">
        <v>115</v>
      </c>
      <c r="E7" s="25"/>
    </row>
    <row r="8" customFormat="false" ht="29.25" hidden="false" customHeight="true" outlineLevel="0" collapsed="false">
      <c r="B8" s="23" t="s">
        <v>116</v>
      </c>
      <c r="C8" s="26" t="n">
        <v>0.2</v>
      </c>
      <c r="D8" s="25" t="s">
        <v>117</v>
      </c>
      <c r="E8" s="25"/>
    </row>
    <row r="9" customFormat="false" ht="19.5" hidden="false" customHeight="true" outlineLevel="0" collapsed="false">
      <c r="B9" s="23" t="s">
        <v>118</v>
      </c>
      <c r="C9" s="26" t="n">
        <v>0.1</v>
      </c>
      <c r="D9" s="25" t="s">
        <v>119</v>
      </c>
      <c r="E9" s="25"/>
    </row>
    <row r="11" customFormat="false" ht="21.75" hidden="false" customHeight="true" outlineLevel="0" collapsed="false">
      <c r="B11" s="5" t="s">
        <v>120</v>
      </c>
      <c r="C11" s="5"/>
      <c r="D11" s="5"/>
      <c r="E11" s="5"/>
    </row>
    <row r="12" customFormat="false" ht="29.25" hidden="false" customHeight="true" outlineLevel="0" collapsed="false">
      <c r="B12" s="28" t="s">
        <v>121</v>
      </c>
      <c r="C12" s="61" t="n">
        <f aca="false">C7+C8+C9</f>
        <v>0.61</v>
      </c>
      <c r="D12" s="30" t="s">
        <v>122</v>
      </c>
      <c r="E12" s="30"/>
    </row>
    <row r="13" customFormat="false" ht="21.75" hidden="false" customHeight="true" outlineLevel="0" collapsed="false">
      <c r="B13" s="28" t="s">
        <v>123</v>
      </c>
      <c r="C13" s="62" t="n">
        <f aca="false">1-C12</f>
        <v>0.39</v>
      </c>
      <c r="D13" s="30" t="s">
        <v>124</v>
      </c>
      <c r="E13" s="30"/>
    </row>
    <row r="14" customFormat="false" ht="42" hidden="false" customHeight="true" outlineLevel="0" collapsed="false">
      <c r="B14" s="33" t="s">
        <v>125</v>
      </c>
      <c r="C14" s="63" t="n">
        <f aca="false">IF(C13&gt;0,C6/C13,"impossível")</f>
        <v>37.6923076923077</v>
      </c>
      <c r="D14" s="30" t="str">
        <f aca="false">IF(C13&gt;0,"custo direto ÷ (1 − soma dos percentuais)","Os percentuais somam 100% ou mais: nenhum preço fecha essa conta. Reduza custos ou o lucro desejado.")</f>
        <v>custo direto ÷ (1 − soma dos percentuais)</v>
      </c>
      <c r="E14" s="30"/>
    </row>
    <row r="15" customFormat="false" ht="29.25" hidden="false" customHeight="true" outlineLevel="0" collapsed="false">
      <c r="B15" s="28" t="s">
        <v>126</v>
      </c>
      <c r="C15" s="64" t="n">
        <f aca="false">IF(AND(C13&gt;0,N(C6)&gt;0),C14/C6,"")</f>
        <v>2.56410256410256</v>
      </c>
      <c r="D15" s="30" t="s">
        <v>127</v>
      </c>
      <c r="E15" s="30"/>
    </row>
    <row r="17" customFormat="false" ht="21.75" hidden="false" customHeight="true" outlineLevel="0" collapsed="false">
      <c r="B17" s="5" t="s">
        <v>128</v>
      </c>
      <c r="C17" s="5"/>
      <c r="D17" s="5"/>
      <c r="E17" s="5"/>
    </row>
    <row r="18" customFormat="false" ht="19.5" hidden="false" customHeight="true" outlineLevel="0" collapsed="false">
      <c r="B18" s="7" t="s">
        <v>129</v>
      </c>
      <c r="C18" s="36" t="s">
        <v>130</v>
      </c>
      <c r="D18" s="36" t="s">
        <v>131</v>
      </c>
      <c r="E18" s="1"/>
    </row>
    <row r="19" customFormat="false" ht="21.75" hidden="false" customHeight="true" outlineLevel="0" collapsed="false">
      <c r="B19" s="28" t="s">
        <v>132</v>
      </c>
      <c r="C19" s="57" t="n">
        <f aca="false">C6</f>
        <v>14.7</v>
      </c>
      <c r="D19" s="65" t="n">
        <f aca="false">IF(ISNUMBER($C$14),C19/$C$14,"")</f>
        <v>0.39</v>
      </c>
      <c r="E19" s="66"/>
    </row>
    <row r="20" customFormat="false" ht="21.75" hidden="false" customHeight="true" outlineLevel="0" collapsed="false">
      <c r="B20" s="28" t="s">
        <v>133</v>
      </c>
      <c r="C20" s="57" t="n">
        <f aca="false">IF(ISNUMBER($C$14),$C$14*C7,"")</f>
        <v>11.6846153846154</v>
      </c>
      <c r="D20" s="65" t="n">
        <f aca="false">C7</f>
        <v>0.31</v>
      </c>
      <c r="E20" s="66"/>
    </row>
    <row r="21" customFormat="false" ht="21.75" hidden="false" customHeight="true" outlineLevel="0" collapsed="false">
      <c r="B21" s="28" t="s">
        <v>134</v>
      </c>
      <c r="C21" s="57" t="n">
        <f aca="false">IF(ISNUMBER($C$14),$C$14*C8,"")</f>
        <v>7.53846153846154</v>
      </c>
      <c r="D21" s="65" t="n">
        <f aca="false">C8</f>
        <v>0.2</v>
      </c>
      <c r="E21" s="66"/>
    </row>
    <row r="22" customFormat="false" ht="21.75" hidden="false" customHeight="true" outlineLevel="0" collapsed="false">
      <c r="B22" s="28" t="s">
        <v>135</v>
      </c>
      <c r="C22" s="42" t="n">
        <f aca="false">IF(ISNUMBER($C$14),$C$14*C9,"")</f>
        <v>3.76923076923077</v>
      </c>
      <c r="D22" s="59" t="n">
        <f aca="false">C9</f>
        <v>0.1</v>
      </c>
      <c r="E22" s="66"/>
    </row>
    <row r="23" customFormat="false" ht="21.75" hidden="false" customHeight="true" outlineLevel="0" collapsed="false">
      <c r="B23" s="33" t="s">
        <v>136</v>
      </c>
      <c r="C23" s="31" t="n">
        <f aca="false">SUM(C19:C22)</f>
        <v>37.6923076923077</v>
      </c>
      <c r="D23" s="67" t="n">
        <f aca="false">SUM(D19:D22)</f>
        <v>1</v>
      </c>
      <c r="E23" s="66"/>
    </row>
    <row r="25" customFormat="false" ht="21.75" hidden="false" customHeight="true" outlineLevel="0" collapsed="false">
      <c r="B25" s="5" t="s">
        <v>65</v>
      </c>
      <c r="C25" s="5"/>
      <c r="D25" s="5"/>
      <c r="E25" s="5"/>
    </row>
    <row r="26" customFormat="false" ht="29.25" hidden="false" customHeight="true" outlineLevel="0" collapsed="false">
      <c r="B26" s="51" t="s">
        <v>137</v>
      </c>
      <c r="C26" s="51"/>
      <c r="D26" s="51"/>
      <c r="E26" s="51"/>
    </row>
    <row r="27" customFormat="false" ht="17.25" hidden="false" customHeight="true" outlineLevel="0" collapsed="false">
      <c r="B27" s="51" t="s">
        <v>138</v>
      </c>
      <c r="C27" s="51"/>
      <c r="D27" s="51"/>
      <c r="E27" s="51"/>
    </row>
    <row r="28" customFormat="false" ht="17.25" hidden="false" customHeight="true" outlineLevel="0" collapsed="false">
      <c r="B28" s="51" t="s">
        <v>139</v>
      </c>
      <c r="C28" s="51"/>
      <c r="D28" s="51"/>
      <c r="E28" s="51"/>
    </row>
    <row r="29" customFormat="false" ht="29.25" hidden="false" customHeight="true" outlineLevel="0" collapsed="false">
      <c r="B29" s="51" t="s">
        <v>140</v>
      </c>
      <c r="C29" s="51"/>
      <c r="D29" s="51"/>
      <c r="E29" s="51"/>
    </row>
    <row r="30" customFormat="false" ht="29.25" hidden="false" customHeight="true" outlineLevel="0" collapsed="false">
      <c r="B30" s="51" t="s">
        <v>141</v>
      </c>
      <c r="C30" s="51"/>
      <c r="D30" s="51"/>
      <c r="E30" s="51"/>
    </row>
  </sheetData>
  <mergeCells count="20">
    <mergeCell ref="B1:D1"/>
    <mergeCell ref="B2:E2"/>
    <mergeCell ref="B5:C5"/>
    <mergeCell ref="D5:E5"/>
    <mergeCell ref="D6:E6"/>
    <mergeCell ref="D7:E7"/>
    <mergeCell ref="D8:E8"/>
    <mergeCell ref="D9:E9"/>
    <mergeCell ref="B11:E11"/>
    <mergeCell ref="D12:E12"/>
    <mergeCell ref="D13:E13"/>
    <mergeCell ref="D14:E14"/>
    <mergeCell ref="D15:E15"/>
    <mergeCell ref="B17:E17"/>
    <mergeCell ref="B25:E25"/>
    <mergeCell ref="B26:E26"/>
    <mergeCell ref="B27:E27"/>
    <mergeCell ref="B28:E28"/>
    <mergeCell ref="B29:E29"/>
    <mergeCell ref="B30:E30"/>
  </mergeCells>
  <conditionalFormatting sqref="C13">
    <cfRule type="cellIs" priority="2" operator="lessThan" aboveAverage="0" equalAverage="0" bottom="0" percent="0" rank="0" text="" dxfId="0">
      <formula>0</formula>
    </cfRule>
  </conditionalFormatting>
  <dataValidations count="2">
    <dataValidation allowBlank="true" error="Digite um valor em reais, sem o R$. Ex.: 22000 ou 14,70" errorStyle="stop" errorTitle="Valor em reais" operator="greaterThanOrEqual" showDropDown="false" showErrorMessage="true" showInputMessage="false" sqref="C6" type="decimal">
      <formula1>0</formula1>
      <formula2>0</formula2>
    </dataValidation>
    <dataValidation allowBlank="true" error="Digite um percentual entre 0% e 100%, com o sinal de %. Ex.: 28%" errorStyle="stop" errorTitle="Percentual" operator="between" showDropDown="false" showErrorMessage="true" showInputMessage="false" sqref="C7:C9" type="decimal">
      <formula1>0</formula1>
      <formula2>1</formula2>
    </dataValidation>
  </dataValidations>
  <printOptions headings="false" gridLines="false" gridLinesSet="true" horizontalCentered="true" verticalCentered="false"/>
  <pageMargins left="0.4" right="0.4" top="0.5" bottom="0.6" header="0.511811023622047" footer="0.2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&amp;C&amp;8 Placar do Dono · [@PREENCHER]&amp;R&amp;8 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1116"/>
    <pageSetUpPr fitToPage="true"/>
  </sheetPr>
  <dimension ref="A1:F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4" min="3" style="0" width="17"/>
    <col collapsed="false" customWidth="true" hidden="false" outlineLevel="0" max="5" min="5" style="0" width="30"/>
    <col collapsed="false" customWidth="true" hidden="false" outlineLevel="0" max="6" min="6" style="0" width="2"/>
  </cols>
  <sheetData>
    <row r="1" customFormat="false" ht="36" hidden="false" customHeight="true" outlineLevel="0" collapsed="false">
      <c r="A1" s="1"/>
      <c r="B1" s="20" t="s">
        <v>142</v>
      </c>
      <c r="C1" s="20"/>
      <c r="D1" s="20"/>
      <c r="E1" s="21" t="s">
        <v>38</v>
      </c>
      <c r="F1" s="1"/>
    </row>
    <row r="2" customFormat="false" ht="32.25" hidden="false" customHeight="true" outlineLevel="0" collapsed="false">
      <c r="A2" s="1"/>
      <c r="B2" s="3" t="s">
        <v>143</v>
      </c>
      <c r="C2" s="3"/>
      <c r="D2" s="3"/>
      <c r="E2" s="3"/>
      <c r="F2" s="1"/>
    </row>
    <row r="3" customFormat="false" ht="3.75" hidden="false" customHeight="true" outlineLevel="0" collapsed="false">
      <c r="A3" s="4"/>
      <c r="B3" s="4"/>
      <c r="C3" s="4"/>
      <c r="D3" s="4"/>
      <c r="E3" s="4"/>
      <c r="F3" s="4"/>
    </row>
    <row r="5" customFormat="false" ht="21.75" hidden="false" customHeight="true" outlineLevel="0" collapsed="false">
      <c r="B5" s="5" t="s">
        <v>113</v>
      </c>
      <c r="C5" s="5"/>
      <c r="D5" s="22" t="s">
        <v>41</v>
      </c>
      <c r="E5" s="22"/>
    </row>
    <row r="6" customFormat="false" ht="19.5" hidden="false" customHeight="true" outlineLevel="0" collapsed="false">
      <c r="B6" s="23" t="s">
        <v>77</v>
      </c>
      <c r="C6" s="24" t="n">
        <v>38</v>
      </c>
      <c r="D6" s="25" t="s">
        <v>78</v>
      </c>
      <c r="E6" s="25"/>
    </row>
    <row r="7" customFormat="false" ht="19.5" hidden="false" customHeight="true" outlineLevel="0" collapsed="false">
      <c r="B7" s="23" t="s">
        <v>79</v>
      </c>
      <c r="C7" s="24" t="n">
        <v>14.7</v>
      </c>
      <c r="D7" s="25" t="s">
        <v>144</v>
      </c>
      <c r="E7" s="25"/>
    </row>
    <row r="8" customFormat="false" ht="29.25" hidden="false" customHeight="true" outlineLevel="0" collapsed="false">
      <c r="B8" s="23" t="s">
        <v>145</v>
      </c>
      <c r="C8" s="26" t="n">
        <v>0.31</v>
      </c>
      <c r="D8" s="25" t="s">
        <v>146</v>
      </c>
      <c r="E8" s="25"/>
    </row>
    <row r="9" customFormat="false" ht="19.5" hidden="false" customHeight="true" outlineLevel="0" collapsed="false">
      <c r="B9" s="23" t="s">
        <v>147</v>
      </c>
      <c r="C9" s="26" t="n">
        <v>0.2</v>
      </c>
      <c r="D9" s="25" t="s">
        <v>148</v>
      </c>
      <c r="E9" s="25"/>
    </row>
    <row r="11" customFormat="false" ht="21.75" hidden="false" customHeight="true" outlineLevel="0" collapsed="false">
      <c r="B11" s="5" t="s">
        <v>149</v>
      </c>
      <c r="C11" s="5"/>
      <c r="D11" s="5"/>
      <c r="E11" s="5"/>
    </row>
    <row r="12" customFormat="false" ht="19.5" hidden="false" customHeight="true" outlineLevel="0" collapsed="false">
      <c r="B12" s="7" t="s">
        <v>95</v>
      </c>
      <c r="C12" s="36" t="s">
        <v>150</v>
      </c>
      <c r="D12" s="36" t="s">
        <v>151</v>
      </c>
      <c r="E12" s="1"/>
    </row>
    <row r="13" customFormat="false" ht="21.75" hidden="false" customHeight="true" outlineLevel="0" collapsed="false">
      <c r="B13" s="28" t="s">
        <v>152</v>
      </c>
      <c r="C13" s="56" t="n">
        <f aca="false">C6</f>
        <v>38</v>
      </c>
      <c r="D13" s="56" t="n">
        <f aca="false">ROUND(C6*(1-C9),2)</f>
        <v>30.4</v>
      </c>
      <c r="E13" s="66"/>
    </row>
    <row r="14" customFormat="false" ht="21.75" hidden="false" customHeight="true" outlineLevel="0" collapsed="false">
      <c r="B14" s="28" t="s">
        <v>97</v>
      </c>
      <c r="C14" s="57" t="n">
        <f aca="false">C7</f>
        <v>14.7</v>
      </c>
      <c r="D14" s="57" t="n">
        <f aca="false">C7</f>
        <v>14.7</v>
      </c>
      <c r="E14" s="66"/>
    </row>
    <row r="15" customFormat="false" ht="21.75" hidden="false" customHeight="true" outlineLevel="0" collapsed="false">
      <c r="B15" s="28" t="s">
        <v>153</v>
      </c>
      <c r="C15" s="57" t="n">
        <f aca="false">ROUND(C13*$C$8,2)</f>
        <v>11.78</v>
      </c>
      <c r="D15" s="57" t="n">
        <f aca="false">ROUND(D13*$C$8,2)</f>
        <v>9.42</v>
      </c>
      <c r="E15" s="66"/>
    </row>
    <row r="16" customFormat="false" ht="27.75" hidden="false" customHeight="true" outlineLevel="0" collapsed="false">
      <c r="B16" s="33" t="s">
        <v>103</v>
      </c>
      <c r="C16" s="68" t="n">
        <f aca="false">C13-C14-C15</f>
        <v>11.52</v>
      </c>
      <c r="D16" s="68" t="n">
        <f aca="false">D13-D14-D15</f>
        <v>6.28</v>
      </c>
      <c r="E16" s="66"/>
    </row>
    <row r="17" customFormat="false" ht="21.75" hidden="false" customHeight="true" outlineLevel="0" collapsed="false">
      <c r="B17" s="28" t="s">
        <v>104</v>
      </c>
      <c r="C17" s="59" t="n">
        <f aca="false">IF(N(C13)&gt;0,C16/C13,"")</f>
        <v>0.303157894736842</v>
      </c>
      <c r="D17" s="59" t="n">
        <f aca="false">IF(N(D13)&gt;0,D16/D13,"")</f>
        <v>0.206578947368421</v>
      </c>
      <c r="E17" s="66"/>
    </row>
    <row r="19" customFormat="false" ht="19.5" hidden="false" customHeight="true" outlineLevel="0" collapsed="false">
      <c r="B19" s="7" t="s">
        <v>154</v>
      </c>
      <c r="C19" s="1"/>
      <c r="D19" s="1"/>
      <c r="E19" s="1"/>
    </row>
    <row r="20" customFormat="false" ht="21.75" hidden="false" customHeight="true" outlineLevel="0" collapsed="false">
      <c r="B20" s="28" t="s">
        <v>155</v>
      </c>
      <c r="C20" s="61" t="n">
        <f aca="false">IF(N(C16)&gt;0,1-D16/C16,"")</f>
        <v>0.454861111111111</v>
      </c>
      <c r="D20" s="30" t="s">
        <v>156</v>
      </c>
      <c r="E20" s="30"/>
    </row>
    <row r="21" customFormat="false" ht="33.75" hidden="false" customHeight="true" outlineLevel="0" collapsed="false">
      <c r="B21" s="33" t="s">
        <v>157</v>
      </c>
      <c r="C21" s="69" t="n">
        <f aca="false">IF(AND(N(C16)&gt;0,N(D16)&gt;0),C16/D16,"não compensa")</f>
        <v>1.8343949044586</v>
      </c>
      <c r="D21" s="30" t="s">
        <v>158</v>
      </c>
      <c r="E21" s="30"/>
    </row>
    <row r="22" customFormat="false" ht="29.25" hidden="false" customHeight="true" outlineLevel="0" collapsed="false">
      <c r="B22" s="28" t="s">
        <v>159</v>
      </c>
      <c r="C22" s="67" t="n">
        <f aca="false">IF(ISNUMBER(C21),C21-1,"")</f>
        <v>0.834394904458599</v>
      </c>
      <c r="D22" s="30" t="s">
        <v>160</v>
      </c>
      <c r="E22" s="30"/>
    </row>
    <row r="23" customFormat="false" ht="21.75" hidden="false" customHeight="true" outlineLevel="0" collapsed="false">
      <c r="B23" s="28" t="s">
        <v>161</v>
      </c>
      <c r="C23" s="61" t="n">
        <f aca="false">IF(N(C6)*(1-C8)&gt;0,MAX(0,1-C7/(C6*(1-C8))),"")</f>
        <v>0.439359267734554</v>
      </c>
      <c r="D23" s="30" t="s">
        <v>162</v>
      </c>
      <c r="E23" s="30"/>
    </row>
    <row r="24" customFormat="false" ht="33.75" hidden="false" customHeight="true" outlineLevel="0" collapsed="false">
      <c r="B24" s="35" t="str">
        <f aca="false">IF(AND(N(C16)&gt;0,N(D16)&gt;0),"Em 100 pedidos com desconto você ganha o mesmo que em "&amp;ROUND(100*D16/C16,0)&amp;" sem desconto: "&amp;(100-ROUND(100*D16/C16,0))&amp;" pedidos trabalhados de graça.",IF(N(C16)&gt;0,"Com esse desconto cada pedido dá prejuízo: não existe volume que compense.","Sem margem antes do desconto: revise preço e custos."))</f>
        <v>Em 100 pedidos com desconto você ganha o mesmo que em 55 sem desconto: 45 pedidos trabalhados de graça.</v>
      </c>
      <c r="C24" s="35"/>
      <c r="D24" s="35"/>
      <c r="E24" s="35"/>
    </row>
    <row r="26" customFormat="false" ht="21.75" hidden="false" customHeight="true" outlineLevel="0" collapsed="false">
      <c r="B26" s="5" t="s">
        <v>65</v>
      </c>
      <c r="C26" s="5"/>
      <c r="D26" s="5"/>
      <c r="E26" s="5"/>
    </row>
    <row r="27" customFormat="false" ht="29.25" hidden="false" customHeight="true" outlineLevel="0" collapsed="false">
      <c r="B27" s="51" t="s">
        <v>163</v>
      </c>
      <c r="C27" s="51"/>
      <c r="D27" s="51"/>
      <c r="E27" s="51"/>
    </row>
    <row r="28" customFormat="false" ht="29.25" hidden="false" customHeight="true" outlineLevel="0" collapsed="false">
      <c r="B28" s="51" t="s">
        <v>164</v>
      </c>
      <c r="C28" s="51"/>
      <c r="D28" s="51"/>
      <c r="E28" s="51"/>
    </row>
    <row r="29" customFormat="false" ht="17.25" hidden="false" customHeight="true" outlineLevel="0" collapsed="false">
      <c r="B29" s="51" t="s">
        <v>165</v>
      </c>
      <c r="C29" s="51"/>
      <c r="D29" s="51"/>
      <c r="E29" s="51"/>
    </row>
    <row r="30" customFormat="false" ht="17.25" hidden="false" customHeight="true" outlineLevel="0" collapsed="false">
      <c r="B30" s="51" t="s">
        <v>166</v>
      </c>
      <c r="C30" s="51"/>
      <c r="D30" s="51"/>
      <c r="E30" s="51"/>
    </row>
    <row r="31" customFormat="false" ht="29.25" hidden="false" customHeight="true" outlineLevel="0" collapsed="false">
      <c r="B31" s="51" t="s">
        <v>167</v>
      </c>
      <c r="C31" s="51"/>
      <c r="D31" s="51"/>
      <c r="E31" s="51"/>
    </row>
  </sheetData>
  <mergeCells count="20">
    <mergeCell ref="B1:D1"/>
    <mergeCell ref="B2:E2"/>
    <mergeCell ref="B5:C5"/>
    <mergeCell ref="D5:E5"/>
    <mergeCell ref="D6:E6"/>
    <mergeCell ref="D7:E7"/>
    <mergeCell ref="D8:E8"/>
    <mergeCell ref="D9:E9"/>
    <mergeCell ref="B11:E11"/>
    <mergeCell ref="D20:E20"/>
    <mergeCell ref="D21:E21"/>
    <mergeCell ref="D22:E22"/>
    <mergeCell ref="D23:E23"/>
    <mergeCell ref="B24:E24"/>
    <mergeCell ref="B26:E26"/>
    <mergeCell ref="B27:E27"/>
    <mergeCell ref="B28:E28"/>
    <mergeCell ref="B29:E29"/>
    <mergeCell ref="B30:E30"/>
    <mergeCell ref="B31:E31"/>
  </mergeCells>
  <conditionalFormatting sqref="C16:D17">
    <cfRule type="cellIs" priority="2" operator="lessThan" aboveAverage="0" equalAverage="0" bottom="0" percent="0" rank="0" text="" dxfId="0">
      <formula>0</formula>
    </cfRule>
  </conditionalFormatting>
  <dataValidations count="2">
    <dataValidation allowBlank="true" error="Digite um valor em reais, sem o R$. Ex.: 22000 ou 14,70" errorStyle="stop" errorTitle="Valor em reais" operator="greaterThanOrEqual" showDropDown="false" showErrorMessage="true" showInputMessage="false" sqref="C6:C7" type="decimal">
      <formula1>0</formula1>
      <formula2>0</formula2>
    </dataValidation>
    <dataValidation allowBlank="true" error="Digite um percentual entre 0% e 100%, com o sinal de %. Ex.: 28%" errorStyle="stop" errorTitle="Percentual" operator="between" showDropDown="false" showErrorMessage="true" showInputMessage="false" sqref="C8:C9" type="decimal">
      <formula1>0</formula1>
      <formula2>1</formula2>
    </dataValidation>
  </dataValidations>
  <printOptions headings="false" gridLines="false" gridLinesSet="true" horizontalCentered="true" verticalCentered="false"/>
  <pageMargins left="0.4" right="0.4" top="0.5" bottom="0.6" header="0.511811023622047" footer="0.2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&amp;C&amp;8 Placar do Dono · [@PREENCHER]&amp;R&amp;8 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1116"/>
    <pageSetUpPr fitToPage="true"/>
  </sheetPr>
  <dimension ref="A1:J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2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13"/>
    <col collapsed="false" customWidth="true" hidden="false" outlineLevel="0" max="8" min="6" style="0" width="11"/>
    <col collapsed="false" customWidth="true" hidden="false" outlineLevel="0" max="9" min="9" style="0" width="14"/>
    <col collapsed="false" customWidth="true" hidden="false" outlineLevel="0" max="10" min="10" style="0" width="2"/>
  </cols>
  <sheetData>
    <row r="1" customFormat="false" ht="36" hidden="false" customHeight="true" outlineLevel="0" collapsed="false">
      <c r="A1" s="1"/>
      <c r="B1" s="20" t="s">
        <v>168</v>
      </c>
      <c r="C1" s="20"/>
      <c r="D1" s="20"/>
      <c r="E1" s="20"/>
      <c r="F1" s="20"/>
      <c r="G1" s="20"/>
      <c r="H1" s="52" t="s">
        <v>38</v>
      </c>
      <c r="I1" s="52"/>
      <c r="J1" s="1"/>
    </row>
    <row r="2" customFormat="false" ht="21.75" hidden="false" customHeight="true" outlineLevel="0" collapsed="false">
      <c r="A2" s="1"/>
      <c r="B2" s="3" t="s">
        <v>169</v>
      </c>
      <c r="C2" s="3"/>
      <c r="D2" s="3"/>
      <c r="E2" s="3"/>
      <c r="F2" s="3"/>
      <c r="G2" s="3"/>
      <c r="H2" s="3"/>
      <c r="I2" s="3"/>
      <c r="J2" s="1"/>
    </row>
    <row r="3" customFormat="false" ht="3.75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</row>
    <row r="5" customFormat="false" ht="21.75" hidden="false" customHeight="true" outlineLevel="0" collapsed="false">
      <c r="B5" s="5" t="s">
        <v>170</v>
      </c>
      <c r="C5" s="5"/>
      <c r="D5" s="5"/>
      <c r="E5" s="5"/>
      <c r="F5" s="22" t="s">
        <v>41</v>
      </c>
      <c r="G5" s="22"/>
      <c r="H5" s="22"/>
      <c r="I5" s="22"/>
    </row>
    <row r="6" customFormat="false" ht="19.5" hidden="false" customHeight="true" outlineLevel="0" collapsed="false">
      <c r="B6" s="23" t="s">
        <v>171</v>
      </c>
      <c r="C6" s="53" t="s">
        <v>75</v>
      </c>
      <c r="D6" s="53"/>
      <c r="E6" s="53"/>
      <c r="F6" s="53"/>
    </row>
    <row r="8" customFormat="false" ht="21.75" hidden="false" customHeight="true" outlineLevel="0" collapsed="false">
      <c r="B8" s="5" t="s">
        <v>172</v>
      </c>
      <c r="C8" s="5"/>
      <c r="D8" s="5"/>
      <c r="E8" s="5"/>
      <c r="F8" s="5"/>
      <c r="G8" s="5"/>
      <c r="H8" s="5"/>
      <c r="I8" s="5"/>
    </row>
    <row r="9" customFormat="false" ht="30" hidden="false" customHeight="true" outlineLevel="0" collapsed="false">
      <c r="B9" s="7" t="s">
        <v>74</v>
      </c>
      <c r="C9" s="36" t="s">
        <v>173</v>
      </c>
      <c r="D9" s="36" t="s">
        <v>174</v>
      </c>
      <c r="E9" s="36" t="s">
        <v>175</v>
      </c>
      <c r="F9" s="36" t="s">
        <v>176</v>
      </c>
      <c r="G9" s="36" t="s">
        <v>177</v>
      </c>
      <c r="H9" s="36" t="s">
        <v>178</v>
      </c>
      <c r="I9" s="36" t="s">
        <v>179</v>
      </c>
    </row>
    <row r="10" customFormat="false" ht="18" hidden="false" customHeight="true" outlineLevel="0" collapsed="false">
      <c r="B10" s="53" t="s">
        <v>180</v>
      </c>
      <c r="C10" s="70" t="n">
        <v>1</v>
      </c>
      <c r="D10" s="55" t="s">
        <v>181</v>
      </c>
      <c r="E10" s="24" t="n">
        <v>1.8</v>
      </c>
      <c r="F10" s="55" t="s">
        <v>181</v>
      </c>
      <c r="G10" s="71" t="n">
        <v>1</v>
      </c>
      <c r="H10" s="72" t="n">
        <f aca="false">IF(C10="","",C10*IF(G10="",1,G10))</f>
        <v>1</v>
      </c>
      <c r="I10" s="37" t="n">
        <f aca="false">IF(OR(C10="",E10=""),"",IF(D10=F10,H10*E10,IF(AND(D10="g",F10="kg"),H10*E10/1000,IF(AND(D10="kg",F10="g"),H10*E10*1000,IF(AND(D10="ml",F10="L"),H10*E10/1000,IF(AND(D10="L",F10="ml"),H10*E10*1000,"confira as unidades"))))))</f>
        <v>1.8</v>
      </c>
    </row>
    <row r="11" customFormat="false" ht="18" hidden="false" customHeight="true" outlineLevel="0" collapsed="false">
      <c r="B11" s="53" t="s">
        <v>182</v>
      </c>
      <c r="C11" s="70" t="n">
        <v>180</v>
      </c>
      <c r="D11" s="55" t="s">
        <v>183</v>
      </c>
      <c r="E11" s="24" t="n">
        <v>45</v>
      </c>
      <c r="F11" s="55" t="s">
        <v>184</v>
      </c>
      <c r="G11" s="71" t="n">
        <v>1</v>
      </c>
      <c r="H11" s="72" t="n">
        <f aca="false">IF(C11="","",C11*IF(G11="",1,G11))</f>
        <v>180</v>
      </c>
      <c r="I11" s="37" t="n">
        <f aca="false">IF(OR(C11="",E11=""),"",IF(D11=F11,H11*E11,IF(AND(D11="g",F11="kg"),H11*E11/1000,IF(AND(D11="kg",F11="g"),H11*E11*1000,IF(AND(D11="ml",F11="L"),H11*E11/1000,IF(AND(D11="L",F11="ml"),H11*E11*1000,"confira as unidades"))))))</f>
        <v>8.1</v>
      </c>
    </row>
    <row r="12" customFormat="false" ht="18" hidden="false" customHeight="true" outlineLevel="0" collapsed="false">
      <c r="B12" s="53" t="s">
        <v>185</v>
      </c>
      <c r="C12" s="70" t="n">
        <v>30</v>
      </c>
      <c r="D12" s="55" t="s">
        <v>183</v>
      </c>
      <c r="E12" s="24" t="n">
        <v>50</v>
      </c>
      <c r="F12" s="55" t="s">
        <v>184</v>
      </c>
      <c r="G12" s="71" t="n">
        <v>1</v>
      </c>
      <c r="H12" s="72" t="n">
        <f aca="false">IF(C12="","",C12*IF(G12="",1,G12))</f>
        <v>30</v>
      </c>
      <c r="I12" s="37" t="n">
        <f aca="false">IF(OR(C12="",E12=""),"",IF(D12=F12,H12*E12,IF(AND(D12="g",F12="kg"),H12*E12/1000,IF(AND(D12="kg",F12="g"),H12*E12*1000,IF(AND(D12="ml",F12="L"),H12*E12/1000,IF(AND(D12="L",F12="ml"),H12*E12*1000,"confira as unidades"))))))</f>
        <v>1.5</v>
      </c>
    </row>
    <row r="13" customFormat="false" ht="18" hidden="false" customHeight="true" outlineLevel="0" collapsed="false">
      <c r="B13" s="53" t="s">
        <v>186</v>
      </c>
      <c r="C13" s="70" t="n">
        <v>1</v>
      </c>
      <c r="D13" s="55" t="s">
        <v>187</v>
      </c>
      <c r="E13" s="24" t="n">
        <v>0.6</v>
      </c>
      <c r="F13" s="55" t="s">
        <v>187</v>
      </c>
      <c r="G13" s="71" t="n">
        <v>1</v>
      </c>
      <c r="H13" s="72" t="n">
        <f aca="false">IF(C13="","",C13*IF(G13="",1,G13))</f>
        <v>1</v>
      </c>
      <c r="I13" s="37" t="n">
        <f aca="false">IF(OR(C13="",E13=""),"",IF(D13=F13,H13*E13,IF(AND(D13="g",F13="kg"),H13*E13/1000,IF(AND(D13="kg",F13="g"),H13*E13*1000,IF(AND(D13="ml",F13="L"),H13*E13/1000,IF(AND(D13="L",F13="ml"),H13*E13*1000,"confira as unidades"))))))</f>
        <v>0.6</v>
      </c>
    </row>
    <row r="14" customFormat="false" ht="18" hidden="false" customHeight="true" outlineLevel="0" collapsed="false">
      <c r="B14" s="53" t="s">
        <v>188</v>
      </c>
      <c r="C14" s="70" t="n">
        <v>1</v>
      </c>
      <c r="D14" s="55" t="s">
        <v>187</v>
      </c>
      <c r="E14" s="24" t="n">
        <v>0.5</v>
      </c>
      <c r="F14" s="55" t="s">
        <v>187</v>
      </c>
      <c r="G14" s="71" t="n">
        <v>1</v>
      </c>
      <c r="H14" s="72" t="n">
        <f aca="false">IF(C14="","",C14*IF(G14="",1,G14))</f>
        <v>1</v>
      </c>
      <c r="I14" s="37" t="n">
        <f aca="false">IF(OR(C14="",E14=""),"",IF(D14=F14,H14*E14,IF(AND(D14="g",F14="kg"),H14*E14/1000,IF(AND(D14="kg",F14="g"),H14*E14*1000,IF(AND(D14="ml",F14="L"),H14*E14/1000,IF(AND(D14="L",F14="ml"),H14*E14*1000,"confira as unidades"))))))</f>
        <v>0.5</v>
      </c>
    </row>
    <row r="15" customFormat="false" ht="18" hidden="false" customHeight="true" outlineLevel="0" collapsed="false">
      <c r="B15" s="53"/>
      <c r="C15" s="70"/>
      <c r="D15" s="55"/>
      <c r="E15" s="24"/>
      <c r="F15" s="55"/>
      <c r="G15" s="71"/>
      <c r="H15" s="72" t="str">
        <f aca="false">IF(C15="","",C15*IF(G15="",1,G15))</f>
        <v/>
      </c>
      <c r="I15" s="37" t="str">
        <f aca="false">IF(OR(C15="",E15=""),"",IF(D15=F15,H15*E15,IF(AND(D15="g",F15="kg"),H15*E15/1000,IF(AND(D15="kg",F15="g"),H15*E15*1000,IF(AND(D15="ml",F15="L"),H15*E15/1000,IF(AND(D15="L",F15="ml"),H15*E15*1000,"confira as unidades"))))))</f>
        <v/>
      </c>
    </row>
    <row r="16" customFormat="false" ht="18" hidden="false" customHeight="true" outlineLevel="0" collapsed="false">
      <c r="B16" s="53"/>
      <c r="C16" s="70"/>
      <c r="D16" s="55"/>
      <c r="E16" s="24"/>
      <c r="F16" s="55"/>
      <c r="G16" s="71"/>
      <c r="H16" s="72" t="str">
        <f aca="false">IF(C16="","",C16*IF(G16="",1,G16))</f>
        <v/>
      </c>
      <c r="I16" s="37" t="str">
        <f aca="false">IF(OR(C16="",E16=""),"",IF(D16=F16,H16*E16,IF(AND(D16="g",F16="kg"),H16*E16/1000,IF(AND(D16="kg",F16="g"),H16*E16*1000,IF(AND(D16="ml",F16="L"),H16*E16/1000,IF(AND(D16="L",F16="ml"),H16*E16*1000,"confira as unidades"))))))</f>
        <v/>
      </c>
    </row>
    <row r="17" customFormat="false" ht="18" hidden="false" customHeight="true" outlineLevel="0" collapsed="false">
      <c r="B17" s="53"/>
      <c r="C17" s="70"/>
      <c r="D17" s="55"/>
      <c r="E17" s="24"/>
      <c r="F17" s="55"/>
      <c r="G17" s="71"/>
      <c r="H17" s="72" t="str">
        <f aca="false">IF(C17="","",C17*IF(G17="",1,G17))</f>
        <v/>
      </c>
      <c r="I17" s="37" t="str">
        <f aca="false">IF(OR(C17="",E17=""),"",IF(D17=F17,H17*E17,IF(AND(D17="g",F17="kg"),H17*E17/1000,IF(AND(D17="kg",F17="g"),H17*E17*1000,IF(AND(D17="ml",F17="L"),H17*E17/1000,IF(AND(D17="L",F17="ml"),H17*E17*1000,"confira as unidades"))))))</f>
        <v/>
      </c>
    </row>
    <row r="18" customFormat="false" ht="19.5" hidden="false" customHeight="true" outlineLevel="0" collapsed="false">
      <c r="B18" s="73" t="s">
        <v>189</v>
      </c>
      <c r="C18" s="73"/>
      <c r="D18" s="73"/>
      <c r="E18" s="73"/>
      <c r="F18" s="73"/>
      <c r="G18" s="73"/>
      <c r="H18" s="73"/>
      <c r="I18" s="74" t="n">
        <f aca="false">SUM(I10:I17)</f>
        <v>12.5</v>
      </c>
    </row>
    <row r="20" customFormat="false" ht="21.75" hidden="false" customHeight="true" outlineLevel="0" collapsed="false">
      <c r="B20" s="5" t="s">
        <v>190</v>
      </c>
      <c r="C20" s="5"/>
      <c r="D20" s="5"/>
      <c r="E20" s="5"/>
      <c r="F20" s="5"/>
      <c r="G20" s="5"/>
      <c r="H20" s="5"/>
      <c r="I20" s="5"/>
    </row>
    <row r="21" customFormat="false" ht="30" hidden="false" customHeight="true" outlineLevel="0" collapsed="false">
      <c r="B21" s="7" t="s">
        <v>74</v>
      </c>
      <c r="C21" s="36" t="s">
        <v>173</v>
      </c>
      <c r="D21" s="36" t="s">
        <v>174</v>
      </c>
      <c r="E21" s="36" t="s">
        <v>175</v>
      </c>
      <c r="F21" s="36" t="s">
        <v>176</v>
      </c>
      <c r="G21" s="36" t="s">
        <v>177</v>
      </c>
      <c r="H21" s="36" t="s">
        <v>178</v>
      </c>
      <c r="I21" s="36" t="s">
        <v>179</v>
      </c>
    </row>
    <row r="22" customFormat="false" ht="18" hidden="false" customHeight="true" outlineLevel="0" collapsed="false">
      <c r="B22" s="53" t="s">
        <v>191</v>
      </c>
      <c r="C22" s="70" t="n">
        <v>1</v>
      </c>
      <c r="D22" s="55" t="s">
        <v>192</v>
      </c>
      <c r="E22" s="24" t="n">
        <v>2.2</v>
      </c>
      <c r="F22" s="55" t="s">
        <v>192</v>
      </c>
      <c r="G22" s="71" t="n">
        <v>1</v>
      </c>
      <c r="H22" s="72" t="n">
        <f aca="false">IF(C22="","",C22*IF(G22="",1,G22))</f>
        <v>1</v>
      </c>
      <c r="I22" s="37" t="n">
        <f aca="false">IF(OR(C22="",E22=""),"",IF(D22=F22,H22*E22,IF(AND(D22="g",F22="kg"),H22*E22/1000,IF(AND(D22="kg",F22="g"),H22*E22*1000,IF(AND(D22="ml",F22="L"),H22*E22/1000,IF(AND(D22="L",F22="ml"),H22*E22*1000,"confira as unidades"))))))</f>
        <v>2.2</v>
      </c>
    </row>
    <row r="23" customFormat="false" ht="18" hidden="false" customHeight="true" outlineLevel="0" collapsed="false">
      <c r="B23" s="53"/>
      <c r="C23" s="70"/>
      <c r="D23" s="55"/>
      <c r="E23" s="24"/>
      <c r="F23" s="55"/>
      <c r="G23" s="71"/>
      <c r="H23" s="72" t="str">
        <f aca="false">IF(C23="","",C23*IF(G23="",1,G23))</f>
        <v/>
      </c>
      <c r="I23" s="37" t="str">
        <f aca="false">IF(OR(C23="",E23=""),"",IF(D23=F23,H23*E23,IF(AND(D23="g",F23="kg"),H23*E23/1000,IF(AND(D23="kg",F23="g"),H23*E23*1000,IF(AND(D23="ml",F23="L"),H23*E23/1000,IF(AND(D23="L",F23="ml"),H23*E23*1000,"confira as unidades"))))))</f>
        <v/>
      </c>
    </row>
    <row r="24" customFormat="false" ht="18" hidden="false" customHeight="true" outlineLevel="0" collapsed="false">
      <c r="B24" s="53"/>
      <c r="C24" s="70"/>
      <c r="D24" s="55"/>
      <c r="E24" s="24"/>
      <c r="F24" s="55"/>
      <c r="G24" s="71"/>
      <c r="H24" s="72" t="str">
        <f aca="false">IF(C24="","",C24*IF(G24="",1,G24))</f>
        <v/>
      </c>
      <c r="I24" s="37" t="str">
        <f aca="false">IF(OR(C24="",E24=""),"",IF(D24=F24,H24*E24,IF(AND(D24="g",F24="kg"),H24*E24/1000,IF(AND(D24="kg",F24="g"),H24*E24*1000,IF(AND(D24="ml",F24="L"),H24*E24/1000,IF(AND(D24="L",F24="ml"),H24*E24*1000,"confira as unidades"))))))</f>
        <v/>
      </c>
    </row>
    <row r="25" customFormat="false" ht="19.5" hidden="false" customHeight="true" outlineLevel="0" collapsed="false">
      <c r="B25" s="73" t="s">
        <v>193</v>
      </c>
      <c r="C25" s="73"/>
      <c r="D25" s="73"/>
      <c r="E25" s="73"/>
      <c r="F25" s="73"/>
      <c r="G25" s="73"/>
      <c r="H25" s="73"/>
      <c r="I25" s="74" t="n">
        <f aca="false">SUM(I22:I24)</f>
        <v>2.2</v>
      </c>
    </row>
    <row r="27" customFormat="false" ht="21.75" hidden="false" customHeight="true" outlineLevel="0" collapsed="false">
      <c r="B27" s="5" t="s">
        <v>194</v>
      </c>
      <c r="C27" s="5"/>
      <c r="D27" s="5"/>
      <c r="E27" s="5"/>
      <c r="F27" s="5"/>
      <c r="G27" s="5"/>
      <c r="H27" s="5"/>
      <c r="I27" s="5"/>
    </row>
    <row r="28" customFormat="false" ht="21.75" hidden="false" customHeight="true" outlineLevel="0" collapsed="false">
      <c r="B28" s="28" t="s">
        <v>195</v>
      </c>
      <c r="C28" s="28"/>
      <c r="D28" s="28"/>
      <c r="E28" s="28"/>
      <c r="F28" s="28"/>
      <c r="G28" s="28"/>
      <c r="H28" s="28"/>
      <c r="I28" s="57" t="n">
        <f aca="false">I18</f>
        <v>12.5</v>
      </c>
    </row>
    <row r="29" customFormat="false" ht="21.75" hidden="false" customHeight="true" outlineLevel="0" collapsed="false">
      <c r="B29" s="28" t="s">
        <v>196</v>
      </c>
      <c r="C29" s="28"/>
      <c r="D29" s="28"/>
      <c r="E29" s="28"/>
      <c r="F29" s="28"/>
      <c r="G29" s="28"/>
      <c r="H29" s="28"/>
      <c r="I29" s="57" t="n">
        <f aca="false">I25</f>
        <v>2.2</v>
      </c>
    </row>
    <row r="30" customFormat="false" ht="31.5" hidden="false" customHeight="true" outlineLevel="0" collapsed="false">
      <c r="B30" s="33" t="s">
        <v>197</v>
      </c>
      <c r="C30" s="33"/>
      <c r="D30" s="33"/>
      <c r="E30" s="33"/>
      <c r="F30" s="33"/>
      <c r="G30" s="33"/>
      <c r="H30" s="33"/>
      <c r="I30" s="75" t="n">
        <f aca="false">I28+I29</f>
        <v>14.7</v>
      </c>
    </row>
    <row r="31" customFormat="false" ht="19.5" hidden="false" customHeight="true" outlineLevel="0" collapsed="false">
      <c r="B31" s="76" t="s">
        <v>198</v>
      </c>
      <c r="C31" s="76"/>
      <c r="D31" s="76"/>
      <c r="E31" s="76"/>
      <c r="F31" s="76"/>
      <c r="G31" s="76"/>
      <c r="H31" s="76"/>
      <c r="I31" s="76"/>
    </row>
    <row r="33" customFormat="false" ht="21.75" hidden="false" customHeight="true" outlineLevel="0" collapsed="false">
      <c r="B33" s="5" t="s">
        <v>199</v>
      </c>
      <c r="C33" s="5"/>
      <c r="D33" s="5"/>
      <c r="E33" s="5"/>
      <c r="F33" s="5"/>
      <c r="G33" s="5"/>
      <c r="H33" s="22" t="s">
        <v>200</v>
      </c>
      <c r="I33" s="22"/>
    </row>
    <row r="34" customFormat="false" ht="19.5" hidden="false" customHeight="true" outlineLevel="0" collapsed="false">
      <c r="B34" s="23" t="s">
        <v>201</v>
      </c>
      <c r="C34" s="70" t="n">
        <v>1000</v>
      </c>
      <c r="D34" s="25" t="s">
        <v>202</v>
      </c>
      <c r="E34" s="25"/>
      <c r="F34" s="25"/>
      <c r="G34" s="25"/>
      <c r="H34" s="25"/>
      <c r="I34" s="25"/>
    </row>
    <row r="35" customFormat="false" ht="19.5" hidden="false" customHeight="true" outlineLevel="0" collapsed="false">
      <c r="B35" s="23" t="s">
        <v>203</v>
      </c>
      <c r="C35" s="70" t="n">
        <v>850</v>
      </c>
      <c r="D35" s="25" t="s">
        <v>204</v>
      </c>
      <c r="E35" s="25"/>
      <c r="F35" s="25"/>
      <c r="G35" s="25"/>
      <c r="H35" s="25"/>
      <c r="I35" s="25"/>
    </row>
    <row r="36" customFormat="false" ht="24" hidden="false" customHeight="true" outlineLevel="0" collapsed="false">
      <c r="B36" s="28" t="s">
        <v>205</v>
      </c>
      <c r="C36" s="77" t="n">
        <f aca="false">IF(N(C35)&gt;0,C34/C35,"")</f>
        <v>1.17647058823529</v>
      </c>
      <c r="D36" s="30" t="s">
        <v>206</v>
      </c>
      <c r="E36" s="30"/>
      <c r="F36" s="30"/>
      <c r="G36" s="30"/>
      <c r="H36" s="30"/>
      <c r="I36" s="30"/>
    </row>
    <row r="37" customFormat="false" ht="19.5" hidden="false" customHeight="true" outlineLevel="0" collapsed="false">
      <c r="B37" s="23" t="s">
        <v>207</v>
      </c>
      <c r="C37" s="24" t="n">
        <v>6</v>
      </c>
      <c r="D37" s="25" t="s">
        <v>208</v>
      </c>
      <c r="E37" s="25"/>
      <c r="F37" s="25"/>
      <c r="G37" s="25"/>
      <c r="H37" s="25"/>
      <c r="I37" s="25"/>
    </row>
    <row r="38" customFormat="false" ht="24" hidden="false" customHeight="true" outlineLevel="0" collapsed="false">
      <c r="B38" s="28" t="s">
        <v>209</v>
      </c>
      <c r="C38" s="78" t="n">
        <f aca="false">IF(ISNUMBER(C36),C37*C36,"")</f>
        <v>7.05882352941176</v>
      </c>
      <c r="D38" s="30" t="s">
        <v>210</v>
      </c>
      <c r="E38" s="30"/>
      <c r="F38" s="30"/>
      <c r="G38" s="30"/>
      <c r="H38" s="30"/>
      <c r="I38" s="30"/>
    </row>
    <row r="40" customFormat="false" ht="21.75" hidden="false" customHeight="true" outlineLevel="0" collapsed="false">
      <c r="B40" s="5" t="s">
        <v>65</v>
      </c>
      <c r="C40" s="5"/>
      <c r="D40" s="5"/>
      <c r="E40" s="5"/>
      <c r="F40" s="5"/>
      <c r="G40" s="5"/>
      <c r="H40" s="5"/>
      <c r="I40" s="5"/>
    </row>
    <row r="41" customFormat="false" ht="29.25" hidden="false" customHeight="true" outlineLevel="0" collapsed="false">
      <c r="B41" s="51" t="s">
        <v>211</v>
      </c>
      <c r="C41" s="51"/>
      <c r="D41" s="51"/>
      <c r="E41" s="51"/>
      <c r="F41" s="51"/>
      <c r="G41" s="51"/>
      <c r="H41" s="51"/>
      <c r="I41" s="51"/>
    </row>
    <row r="42" customFormat="false" ht="29.25" hidden="false" customHeight="true" outlineLevel="0" collapsed="false">
      <c r="B42" s="51" t="s">
        <v>212</v>
      </c>
      <c r="C42" s="51"/>
      <c r="D42" s="51"/>
      <c r="E42" s="51"/>
      <c r="F42" s="51"/>
      <c r="G42" s="51"/>
      <c r="H42" s="51"/>
      <c r="I42" s="51"/>
    </row>
    <row r="43" customFormat="false" ht="17.25" hidden="false" customHeight="true" outlineLevel="0" collapsed="false">
      <c r="B43" s="51" t="s">
        <v>213</v>
      </c>
      <c r="C43" s="51"/>
      <c r="D43" s="51"/>
      <c r="E43" s="51"/>
      <c r="F43" s="51"/>
      <c r="G43" s="51"/>
      <c r="H43" s="51"/>
      <c r="I43" s="51"/>
    </row>
    <row r="44" customFormat="false" ht="17.25" hidden="false" customHeight="true" outlineLevel="0" collapsed="false">
      <c r="B44" s="51" t="s">
        <v>214</v>
      </c>
      <c r="C44" s="51"/>
      <c r="D44" s="51"/>
      <c r="E44" s="51"/>
      <c r="F44" s="51"/>
      <c r="G44" s="51"/>
      <c r="H44" s="51"/>
      <c r="I44" s="51"/>
    </row>
    <row r="45" customFormat="false" ht="17.25" hidden="false" customHeight="true" outlineLevel="0" collapsed="false">
      <c r="B45" s="51" t="s">
        <v>215</v>
      </c>
      <c r="C45" s="51"/>
      <c r="D45" s="51"/>
      <c r="E45" s="51"/>
      <c r="F45" s="51"/>
      <c r="G45" s="51"/>
      <c r="H45" s="51"/>
      <c r="I45" s="51"/>
    </row>
  </sheetData>
  <mergeCells count="28">
    <mergeCell ref="B1:G1"/>
    <mergeCell ref="H1:I1"/>
    <mergeCell ref="B2:I2"/>
    <mergeCell ref="B5:E5"/>
    <mergeCell ref="F5:I5"/>
    <mergeCell ref="C6:F6"/>
    <mergeCell ref="B8:I8"/>
    <mergeCell ref="B18:H18"/>
    <mergeCell ref="B20:I20"/>
    <mergeCell ref="B25:H25"/>
    <mergeCell ref="B27:I27"/>
    <mergeCell ref="B28:H28"/>
    <mergeCell ref="B29:H29"/>
    <mergeCell ref="B30:H30"/>
    <mergeCell ref="B31:I31"/>
    <mergeCell ref="B33:G33"/>
    <mergeCell ref="H33:I33"/>
    <mergeCell ref="D34:I34"/>
    <mergeCell ref="D35:I35"/>
    <mergeCell ref="D36:I36"/>
    <mergeCell ref="D37:I37"/>
    <mergeCell ref="D38:I38"/>
    <mergeCell ref="B40:I40"/>
    <mergeCell ref="B41:I41"/>
    <mergeCell ref="B42:I42"/>
    <mergeCell ref="B43:I43"/>
    <mergeCell ref="B44:I44"/>
    <mergeCell ref="B45:I45"/>
  </mergeCells>
  <dataValidations count="4">
    <dataValidation allowBlank="true" error="Digite um valor em reais, sem o R$. Ex.: 22000 ou 14,70" errorStyle="stop" errorTitle="Valor em reais" operator="greaterThanOrEqual" showDropDown="false" showErrorMessage="true" showInputMessage="false" sqref="E10:E17 E22:E24 C37" type="decimal">
      <formula1>0</formula1>
      <formula2>0</formula2>
    </dataValidation>
    <dataValidation allowBlank="true" error="Digite a quantidade como número. Ex.: 180" errorStyle="stop" errorTitle="Quantidade" operator="greaterThanOrEqual" showDropDown="false" showErrorMessage="true" showInputMessage="false" sqref="C10:C17 C22:C24 C34:C35" type="decimal">
      <formula1>0</formula1>
      <formula2>0</formula2>
    </dataValidation>
    <dataValidation allowBlank="true" error="Escolha uma unidade da lista: g, kg, ml, L, un, porção ou kit." errorStyle="stop" errorTitle="Unidade" operator="between" showDropDown="false" showErrorMessage="true" showInputMessage="false" sqref="D10:D17 F10:F17 D22:D24 F22:F24" type="list">
      <formula1>"g,kg,ml,L,un,porção,kit"</formula1>
      <formula2>0</formula2>
    </dataValidation>
    <dataValidation allowBlank="true" error="FC = peso bruto ÷ peso limpo e costuma ser 1 ou mais (ex.: 1,18). Quer manter mesmo assim?" errorStyle="warning" errorTitle="Fator de correção" operator="between" showDropDown="false" showErrorMessage="true" showInputMessage="false" sqref="G10:G17 G22:G24" type="decimal">
      <formula1>1</formula1>
      <formula2>20</formula2>
    </dataValidation>
  </dataValidations>
  <printOptions headings="false" gridLines="false" gridLinesSet="true" horizontalCentered="true" verticalCentered="false"/>
  <pageMargins left="0.4" right="0.4" top="0.5" bottom="0.6" header="0.511811023622047" footer="0.2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&amp;C&amp;8 Placar do Dono · [@PREENCHER]&amp;R&amp;8 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2026-10-16T23:52:24Z</dcterms:created>
  <dc:creator>Placar do Dono</dc:creator>
  <dc:description/>
  <dc:language>pt-BR</dc:language>
  <cp:lastModifiedBy/>
  <dcterms:modified xsi:type="dcterms:W3CDTF">2026-10-16T23:52:24Z</dcterms:modified>
  <cp:revision>0</cp:revision>
  <dc:subject>Ponto de equilíbrio, margem por canal, preço, desconto e ficha técnica para dark kitchen</dc:subject>
  <dc:title>Placar do Dono · calculadora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